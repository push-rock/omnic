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需求矩阵" sheetId="1" state="visible" r:id="rId3"/>
    <sheet name="汇总统计" sheetId="2" state="visible" r:id="rId4"/>
    <sheet name="假设清单" sheetId="3" state="visible" r:id="rId5"/>
    <sheet name="风险清单" sheetId="4" state="visible" r:id="rId6"/>
    <sheet name="WBS" sheetId="5" state="visible" r:id="rId7"/>
    <sheet name="验收标准" sheetId="6" state="visible" r:id="rId8"/>
  </sheets>
  <definedNames>
    <definedName function="false" hidden="true" localSheetId="0" name="_xlnm._FilterDatabase" vbProcedure="false">需求矩阵!$A$3:$J$76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<sst xmlns="http://schemas.openxmlformats.org/spreadsheetml/2006/main" count="847" uniqueCount="347">
  <si>
    <t xml:space="preserve">omnic 需求矩阵 v0.1（2026-10-29）</t>
  </si>
  <si>
    <t xml:space="preserve">需求编号</t>
  </si>
  <si>
    <t xml:space="preserve">层级</t>
  </si>
  <si>
    <t xml:space="preserve">模块</t>
  </si>
  <si>
    <t xml:space="preserve">需求描述（EARS）</t>
  </si>
  <si>
    <t xml:space="preserve">量化指标</t>
  </si>
  <si>
    <t xml:space="preserve">父需求</t>
  </si>
  <si>
    <t xml:space="preserve">验证方法</t>
  </si>
  <si>
    <t xml:space="preserve">优先级</t>
  </si>
  <si>
    <t xml:space="preserve">阶段</t>
  </si>
  <si>
    <t xml:space="preserve">假设/备注</t>
  </si>
  <si>
    <t xml:space="preserve">BUS-001</t>
  </si>
  <si>
    <t xml:space="preserve">BUS</t>
  </si>
  <si>
    <t xml:space="preserve">业务</t>
  </si>
  <si>
    <t xml:space="preserve">系统 shall 在用户压缩文件时自动选择最合适的算法与级别，无需用户具备压缩算法知识</t>
  </si>
  <si>
    <t xml:space="preserve">—</t>
  </si>
  <si>
    <t xml:space="preserve">D</t>
  </si>
  <si>
    <t xml:space="preserve">Must</t>
  </si>
  <si>
    <t xml:space="preserve">一期</t>
  </si>
  <si>
    <t xml:space="preserve">BUS-002</t>
  </si>
  <si>
    <t xml:space="preserve">系统 shall 提供三种用户偏好（压缩更快/解压更快/压缩率更好）及均衡默认档</t>
  </si>
  <si>
    <t xml:space="preserve">4 种偏好</t>
  </si>
  <si>
    <t xml:space="preserve">BUS-003</t>
  </si>
  <si>
    <t xml:space="preserve">压缩产物 shall 采用算法原生格式与后缀，可被市面主流工具直接解开</t>
  </si>
  <si>
    <t xml:space="preserve">T</t>
  </si>
  <si>
    <t xml:space="preserve">BUS-004</t>
  </si>
  <si>
    <t xml:space="preserve">解压端 shall 覆盖市面上大多数压缩流格式</t>
  </si>
  <si>
    <t xml:space="preserve">一期 16 种/二期含归档</t>
  </si>
  <si>
    <t xml:space="preserve">BUS-005</t>
  </si>
  <si>
    <t xml:space="preserve">项目 shall 以开源形式发布于 GitHub，三平台提供预编译单二进制</t>
  </si>
  <si>
    <t xml:space="preserve">3 平台</t>
  </si>
  <si>
    <t xml:space="preserve">SYS-CMP-001</t>
  </si>
  <si>
    <t xml:space="preserve">SYS</t>
  </si>
  <si>
    <t xml:space="preserve">压缩</t>
  </si>
  <si>
    <t xml:space="preserve">当用户压缩一个文件时，系统 shall 依次执行类型识别→决策器选择→codec 执行→输出原生格式文件</t>
  </si>
  <si>
    <t xml:space="preserve">SYS-CMP-002</t>
  </si>
  <si>
    <t xml:space="preserve">决策器 shall 在特征提取完成后给出决策（查表≤1ms，特征提取含 4MB 采样分析≤50ms，不含磁盘 I/O）</t>
  </si>
  <si>
    <t xml:space="preserve">≤50ms + ≤1ms</t>
  </si>
  <si>
    <t xml:space="preserve">假设 A6</t>
  </si>
  <si>
    <t xml:space="preserve">SYS-CMP-003</t>
  </si>
  <si>
    <t xml:space="preserve">当输入被判定为已压缩数据时，系统 shall 默认跳过压缩并警告；--force 后 shall 执行压缩</t>
  </si>
  <si>
    <t xml:space="preserve">假设 A1</t>
  </si>
  <si>
    <t xml:space="preserve">SYS-CMP-004</t>
  </si>
  <si>
    <t xml:space="preserve">系统 shall 报告压缩结果：算法、级别、决策依据、耗时、原始/压缩大小、压缩率、吞吐</t>
  </si>
  <si>
    <t xml:space="preserve">SYS-CMP-005</t>
  </si>
  <si>
    <t xml:space="preserve">压缩 shall 采用流式处理，内存占用与文件大小无关</t>
  </si>
  <si>
    <t xml:space="preserve">≤256MB</t>
  </si>
  <si>
    <t xml:space="preserve">SYS-DEC-001</t>
  </si>
  <si>
    <t xml:space="preserve">解压</t>
  </si>
  <si>
    <t xml:space="preserve">当用户解压文件时，系统 shall 以 magic number 优先识别格式，后缀兜底，冲突时以 magic 为准并提示</t>
  </si>
  <si>
    <t xml:space="preserve">识别准确率 100%</t>
  </si>
  <si>
    <t xml:space="preserve">SYS-DEC-002</t>
  </si>
  <si>
    <t xml:space="preserve">当格式无法识别时，系统 shall 以非零退出码退出并打印支持格式清单</t>
  </si>
  <si>
    <t xml:space="preserve">SYS-DEC-003</t>
  </si>
  <si>
    <t xml:space="preserve">当压缩流损坏或截断时，系统 shall 在首个错误字节报告错误并以非零退出码退出，不得崩溃</t>
  </si>
  <si>
    <t xml:space="preserve">零崩溃（fuzz）</t>
  </si>
  <si>
    <t xml:space="preserve">SYS-DEC-004</t>
  </si>
  <si>
    <t xml:space="preserve">解压 shall 采用流式处理</t>
  </si>
  <si>
    <t xml:space="preserve">SYS-DEC-005</t>
  </si>
  <si>
    <t xml:space="preserve">完整性校验 shall 透传原生格式内建校验（gzip CRC32、xz CRC64、zstd XXH64 等），不额外封装</t>
  </si>
  <si>
    <t xml:space="preserve">R</t>
  </si>
  <si>
    <t xml:space="preserve">假设 A3</t>
  </si>
  <si>
    <t xml:space="preserve">SYS-FMT-001</t>
  </si>
  <si>
    <t xml:space="preserve">格式</t>
  </si>
  <si>
    <t xml:space="preserve">omnic 压缩的产物 shall 能被对应官方参考实现 CLI 解开（交叉验证）</t>
  </si>
  <si>
    <t xml:space="preserve">SYS-FMT-002</t>
  </si>
  <si>
    <t xml:space="preserve">系统 shall 解压官方参考实现 CLI 产出的文件（反向交叉验证）</t>
  </si>
  <si>
    <t xml:space="preserve">SYS-CODEC-001</t>
  </si>
  <si>
    <t xml:space="preserve">算法准入</t>
  </si>
  <si>
    <t xml:space="preserve">codec 准入 shall 同时满足：宽松许可证、维护中、纯 C/C++ 工具链、三平台可编译</t>
  </si>
  <si>
    <t xml:space="preserve">4 条标准</t>
  </si>
  <si>
    <t xml:space="preserve">SYS-CODEC-002</t>
  </si>
  <si>
    <t xml:space="preserve">当候选库仅提供 GPL/LGPL 许可（lzo/lzlib/bzip3/lizard）时，系统 shall 不默认集成，须 OMNIC_ENABLE_GPL 隔离构建</t>
  </si>
  <si>
    <t xml:space="preserve">假设 A5</t>
  </si>
  <si>
    <t xml:space="preserve">SYS-CODEC-003</t>
  </si>
  <si>
    <t xml:space="preserve">所有 vendored 库 shall 在 THIRD_PARTY_NOTICES.md 登记来源、版本、许可证原文</t>
  </si>
  <si>
    <t xml:space="preserve">SYS-CODEC-004</t>
  </si>
  <si>
    <t xml:space="preserve">当上游库出现无补丁安全公告时，系统 shall 在一个发布周期内移除或替换该 codec</t>
  </si>
  <si>
    <t xml:space="preserve">Should</t>
  </si>
  <si>
    <t xml:space="preserve">SYS-PORT-001</t>
  </si>
  <si>
    <t xml:space="preserve">可移植</t>
  </si>
  <si>
    <t xml:space="preserve">系统 shall 运行于 Windows 10+ x64、Ubuntu 22.04+ x64、macOS 12+（x64/arm64），CI 三平台全绿</t>
  </si>
  <si>
    <t xml:space="preserve">3 平台×2 编译器</t>
  </si>
  <si>
    <t xml:space="preserve">SYS-PERF-001</t>
  </si>
  <si>
    <t xml:space="preserve">性能</t>
  </si>
  <si>
    <t xml:space="preserve">适配层引入的吞吐损耗 shall 不超过裸库基准的 5%（同机同文件对比官方 CLI）</t>
  </si>
  <si>
    <t xml:space="preserve">≥95% 裸库吞吐</t>
  </si>
  <si>
    <t xml:space="preserve">假设 A7</t>
  </si>
  <si>
    <t xml:space="preserve">SYS-PERF-002</t>
  </si>
  <si>
    <t xml:space="preserve">zstd codec shall 支持原生多线程压缩（frame 内多 job）；其余 codec 一期单线程</t>
  </si>
  <si>
    <t xml:space="preserve">加速比≥0.7×线程数</t>
  </si>
  <si>
    <t xml:space="preserve">SYS-ARCH-001</t>
  </si>
  <si>
    <t xml:space="preserve">架构</t>
  </si>
  <si>
    <t xml:space="preserve">codec shall 以注册表模式接入：新增 codec 不修改核心调度代码</t>
  </si>
  <si>
    <t xml:space="preserve">≤2 文件改动</t>
  </si>
  <si>
    <t xml:space="preserve">SW-CMP-001</t>
  </si>
  <si>
    <t xml:space="preserve">SW</t>
  </si>
  <si>
    <t xml:space="preserve">软件 shall 支持 omnic c &lt;file...&gt; 自动压缩，输出 &lt;file&gt;.&lt;ext&gt;</t>
  </si>
  <si>
    <t xml:space="preserve">SW-CMP-002</t>
  </si>
  <si>
    <t xml:space="preserve">软件 shall 支持 --profile fast_compress|fast_decompress|best_ratio|balanced，默认 balanced</t>
  </si>
  <si>
    <t xml:space="preserve">4 档</t>
  </si>
  <si>
    <t xml:space="preserve">SW-CMP-003</t>
  </si>
  <si>
    <t xml:space="preserve">软件 shall 支持 --codec &lt;name&gt; --level &lt;n&gt; 手动覆盖自动决策</t>
  </si>
  <si>
    <t xml:space="preserve">SW-CMP-004</t>
  </si>
  <si>
    <t xml:space="preserve">软件 shall 支持 --keep 保留源文件；默认压缩成功后删除源文件，失败时保留</t>
  </si>
  <si>
    <t xml:space="preserve">假设 A8</t>
  </si>
  <si>
    <t xml:space="preserve">SW-CMP-005</t>
  </si>
  <si>
    <t xml:space="preserve">软件 shall 以临时文件+原子 rename 落盘，压缩失败不得留下半成品</t>
  </si>
  <si>
    <t xml:space="preserve">SW-CMP-006</t>
  </si>
  <si>
    <t xml:space="preserve">当输出文件已存在时，软件 shall 报错退出，除非 --force</t>
  </si>
  <si>
    <t xml:space="preserve">SW-CMP-007</t>
  </si>
  <si>
    <t xml:space="preserve">软件 shall 支持 -（stdin→stdout）管道模式，决策基于 stdin 前 4MB 采样</t>
  </si>
  <si>
    <t xml:space="preserve">SW-CMP-008</t>
  </si>
  <si>
    <t xml:space="preserve">软件 shall 在 tty 附加时显示进度（stderr），--quiet 关闭</t>
  </si>
  <si>
    <t xml:space="preserve">SW-DEC-001</t>
  </si>
  <si>
    <t xml:space="preserve">软件 shall 支持 omnic d &lt;file...&gt; 自动识别格式并解压，输出文件名=去掉压缩后缀</t>
  </si>
  <si>
    <t xml:space="preserve">假设 A2</t>
  </si>
  <si>
    <t xml:space="preserve">SW-DEC-002</t>
  </si>
  <si>
    <t xml:space="preserve">软件 shall 支持 omnic list 打印全部支持格式（压缩/解压分列）</t>
  </si>
  <si>
    <t xml:space="preserve">SW-DEC-003</t>
  </si>
  <si>
    <t xml:space="preserve">软件 shall 支持同批混合格式输入，逐文件独立处理，单文件失败不影响后续，退出码取最大错误级</t>
  </si>
  <si>
    <t xml:space="preserve">SW-DET-001</t>
  </si>
  <si>
    <t xml:space="preserve">探测</t>
  </si>
  <si>
    <t xml:space="preserve">软件 shall 内置 magic 表对文件头≤16 字节做前缀匹配，优先级：精确 magic&gt;后缀&gt;拒绝</t>
  </si>
  <si>
    <t xml:space="preserve">16 格式</t>
  </si>
  <si>
    <t xml:space="preserve">SW-DET-002</t>
  </si>
  <si>
    <t xml:space="preserve">软件 shall 建立后缀→7 类数据类型映射表并以 4MB 采样熵计算兜底</t>
  </si>
  <si>
    <t xml:space="preserve">≥200 后缀</t>
  </si>
  <si>
    <t xml:space="preserve">SW-DET-003</t>
  </si>
  <si>
    <t xml:space="preserve">当采样熵≥7.5bits/byte 且无匹配后缀时，软件 shall 判定不可压缩并触发跳过路径</t>
  </si>
  <si>
    <t xml:space="preserve">熵阈值 7.5</t>
  </si>
  <si>
    <t xml:space="preserve">SW-DET-004</t>
  </si>
  <si>
    <t xml:space="preserve">软件 shall 提供 omnic analyze：打印类型分类、熵、决策结果与理由，不执行压缩</t>
  </si>
  <si>
    <t xml:space="preserve">SW-POL-001</t>
  </si>
  <si>
    <t xml:space="preserve">决策器</t>
  </si>
  <si>
    <t xml:space="preserve">决策器 shall 输入(文件类型,熵,profile)输出(codec,level,决策理由)，实现为编译期查表</t>
  </si>
  <si>
    <t xml:space="preserve">SW-POL-002</t>
  </si>
  <si>
    <t xml:space="preserve">一期内置决策表 shall 由 lzbench Pareto 数据初始化，覆盖 7 类数据类型×4 profile</t>
  </si>
  <si>
    <t xml:space="preserve">28 决策单元</t>
  </si>
  <si>
    <t xml:space="preserve">SW-POL-003</t>
  </si>
  <si>
    <t xml:space="preserve">软件 shall 支持 --explain 打印决策依据（类型、规则命中项、备选方案）</t>
  </si>
  <si>
    <t xml:space="preserve">SW-POL-004</t>
  </si>
  <si>
    <t xml:space="preserve">决策表 shall 由 tools/train 离线生成 C 源文件 policy_table.gen.c 编入二进制，运行时零外部依赖</t>
  </si>
  <si>
    <t xml:space="preserve">SW-POL-005</t>
  </si>
  <si>
    <t xml:space="preserve">决策器 shall 保证确定性：相同(类型,熵区间,profile)永远输出相同决策</t>
  </si>
  <si>
    <t xml:space="preserve">SW-CODEC-001</t>
  </si>
  <si>
    <t xml:space="preserve">适配层</t>
  </si>
  <si>
    <t xml:space="preserve">软件 shall 定义统一 codec ops 接口（名称、格式 ID、级别域、流式函数指针、bound），全部 adapter 实现该接口</t>
  </si>
  <si>
    <t xml:space="preserve">SW-CODEC-002</t>
  </si>
  <si>
    <t xml:space="preserve">软件 shall 维护运行时注册表：codec 名→ops 指针，omnic list --codecs 可查询</t>
  </si>
  <si>
    <t xml:space="preserve">SW-CODEC-003</t>
  </si>
  <si>
    <t xml:space="preserve">每个 codec adapter shall 将底层错误码映射为统一错误枚举+上下文消息（文件名、字节偏移）</t>
  </si>
  <si>
    <t xml:space="preserve">SW-CODEC-004</t>
  </si>
  <si>
    <t xml:space="preserve">每个 codec adapter shall 实现流式分块 I/O（默认 4MB 块），不得整文件载入内存</t>
  </si>
  <si>
    <t xml:space="preserve">4MB 块</t>
  </si>
  <si>
    <t xml:space="preserve">SW-CODEC-005</t>
  </si>
  <si>
    <t xml:space="preserve">CMake shall 提供每 codec 独立开关 OMNIC_CODEC_&lt;NAME&gt;，核心 10 族默认开</t>
  </si>
  <si>
    <t xml:space="preserve">10 默认开</t>
  </si>
  <si>
    <t xml:space="preserve">SW-TRAIN-001</t>
  </si>
  <si>
    <t xml:space="preserve">训练管线</t>
  </si>
  <si>
    <t xml:space="preserve">管线 shall 提供 bench：对语料库×(codec,level)全矩阵测压缩率/压缩速度/解压速度，输出 CSV</t>
  </si>
  <si>
    <t xml:space="preserve">SW-TRAIN-002</t>
  </si>
  <si>
    <t xml:space="preserve">管线 shall 提供 fit：从 CSV 计算每(数据类型,profile)的 Pareto 最优并生成 policy_table.gen.c</t>
  </si>
  <si>
    <t xml:space="preserve">SW-TRAIN-003</t>
  </si>
  <si>
    <t xml:space="preserve">语料库 shall 按类型组织于 corpora/（7 类，一期≥7类×≥3样本）</t>
  </si>
  <si>
    <t xml:space="preserve">≥21 样本</t>
  </si>
  <si>
    <t xml:space="preserve">SW-TRAIN-004</t>
  </si>
  <si>
    <t xml:space="preserve">实验数据 CSV shall 入库保留，决策表可由数据重新生成（可复现性）</t>
  </si>
  <si>
    <t xml:space="preserve">SW-TRAIN-005</t>
  </si>
  <si>
    <t xml:space="preserve">二期管线 shall 支持以(类型特征向量,profile)训练决策模型（决策树/GBDT 导出 C 查表）替代手工规则表</t>
  </si>
  <si>
    <t xml:space="preserve">Could</t>
  </si>
  <si>
    <t xml:space="preserve">二期</t>
  </si>
  <si>
    <t xml:space="preserve">SW-CLI-001</t>
  </si>
  <si>
    <t xml:space="preserve">CLI</t>
  </si>
  <si>
    <t xml:space="preserve">子命令：c/d/analyze/list/version/help；全局选项 --profile --codec --level --threads --force --keep --quiet --explain --output-dir</t>
  </si>
  <si>
    <t xml:space="preserve">6 子命令</t>
  </si>
  <si>
    <t xml:space="preserve">INT-CLI-001</t>
  </si>
  <si>
    <t xml:space="preserve">SW-CLI-002</t>
  </si>
  <si>
    <t xml:space="preserve">退出码：0 成功；1 使用错误；2 数据错误；3 系统错误</t>
  </si>
  <si>
    <t xml:space="preserve">4 级</t>
  </si>
  <si>
    <t xml:space="preserve">SW-CLI-003</t>
  </si>
  <si>
    <t xml:space="preserve">--help 输出遵循 POSIX 风格，man 手册页随发布提供</t>
  </si>
  <si>
    <t xml:space="preserve">SW-INF-001</t>
  </si>
  <si>
    <t xml:space="preserve">构建</t>
  </si>
  <si>
    <t xml:space="preserve">构建：CMake≥3.16，C11；-Wall -Wextra（CI 加 -Werror）；MSVC 与 GCC/Clang 双编译器</t>
  </si>
  <si>
    <t xml:space="preserve">SW-INF-002</t>
  </si>
  <si>
    <t xml:space="preserve">第三方库 vendored 进仓库（不依赖系统库），保证可复现构建</t>
  </si>
  <si>
    <t xml:space="preserve">SW-INF-003</t>
  </si>
  <si>
    <t xml:space="preserve">GitHub Actions：三平台构建+测试+release 静态单二进制产物</t>
  </si>
  <si>
    <t xml:space="preserve">SW-INF-004</t>
  </si>
  <si>
    <t xml:space="preserve">测试框架：C 内置极简断言宏+语料回归脚本；无第三方测试依赖</t>
  </si>
  <si>
    <t xml:space="preserve">TST-CODEC-001</t>
  </si>
  <si>
    <t xml:space="preserve">INT</t>
  </si>
  <si>
    <t xml:space="preserve">人机接口</t>
  </si>
  <si>
    <t xml:space="preserve">CLI 参数全集及语义见 SW-CLI-001，一期冻结后变更须保持向后兼容</t>
  </si>
  <si>
    <t xml:space="preserve">BUS-001, BUS-002</t>
  </si>
  <si>
    <t xml:space="preserve">INT-LIB-001</t>
  </si>
  <si>
    <t xml:space="preserve">库 API</t>
  </si>
  <si>
    <t xml:space="preserve">核心能力 shall 以 libomnic C API 暴露（omnic_compress/decompress/analyze），CLI 是薄封装；二期 GUI 复用同一 API</t>
  </si>
  <si>
    <t xml:space="preserve">TST-FMT-001</t>
  </si>
  <si>
    <t xml:space="preserve">TST</t>
  </si>
  <si>
    <t xml:space="preserve">交叉验证</t>
  </si>
  <si>
    <t xml:space="preserve">交叉验证：omnic 压缩产物→官方 CLI 解压→与源文件逐字节一致</t>
  </si>
  <si>
    <t xml:space="preserve">TST-FMT-002</t>
  </si>
  <si>
    <t xml:space="preserve">反向交叉：官方 CLI 压缩→omnic 解压→逐字节一致</t>
  </si>
  <si>
    <t xml:space="preserve">回归</t>
  </si>
  <si>
    <t xml:space="preserve">每 codec roundtrip：语料集全样本压缩→自解压→逐字节一致</t>
  </si>
  <si>
    <t xml:space="preserve">TST-DEC-001</t>
  </si>
  <si>
    <t xml:space="preserve">fuzz</t>
  </si>
  <si>
    <t xml:space="preserve">16 种格式×截断/位翻转 fuzz：只许报错，不许崩溃</t>
  </si>
  <si>
    <t xml:space="preserve">TST-POL-001</t>
  </si>
  <si>
    <t xml:space="preserve">决策</t>
  </si>
  <si>
    <t xml:space="preserve">决策冒烟：每(类型,profile)断言输出落在决策表期望值</t>
  </si>
  <si>
    <t xml:space="preserve">28 单元</t>
  </si>
  <si>
    <t xml:space="preserve">TST-PERF-001</t>
  </si>
  <si>
    <t xml:space="preserve">性能回归：zstd -6 基准文件吞吐≥裸库 95%（CI 报告，非硬门禁）</t>
  </si>
  <si>
    <t xml:space="preserve">≥95%</t>
  </si>
  <si>
    <t xml:space="preserve">TST-PORT-001</t>
  </si>
  <si>
    <t xml:space="preserve">平台</t>
  </si>
  <si>
    <t xml:space="preserve">三平台 CI 矩阵全绿</t>
  </si>
  <si>
    <t xml:space="preserve">TST-NEG-001</t>
  </si>
  <si>
    <t xml:space="preserve">异常</t>
  </si>
  <si>
    <t xml:space="preserve">异常路径：目录输入（提示归档二期）、已存在输出、空文件、单字节文件、不可识别 magic</t>
  </si>
  <si>
    <t xml:space="preserve">假设 A4</t>
  </si>
  <si>
    <t xml:space="preserve">TST-LIC-001</t>
  </si>
  <si>
    <t xml:space="preserve">许可</t>
  </si>
  <si>
    <t xml:space="preserve">许可证扫描：CI 脚本核对 vendored 库 license 与 THIRD_PARTY_NOTICES 一致</t>
  </si>
  <si>
    <t xml:space="preserve">验证方法代码：T=测试 / R=审查 / A=分析 / D=演示；优先级：MoSCoW</t>
  </si>
  <si>
    <t xml:space="preserve">需求汇总统计（公式自动计算）</t>
  </si>
  <si>
    <t xml:space="preserve">统计维度</t>
  </si>
  <si>
    <t xml:space="preserve">取值</t>
  </si>
  <si>
    <t xml:space="preserve">条数</t>
  </si>
  <si>
    <t xml:space="preserve">合计</t>
  </si>
  <si>
    <t xml:space="preserve">全部需求</t>
  </si>
  <si>
    <t xml:space="preserve">数据源：'需求矩阵'工作表 A4 起的全部条目；公式随矩阵增删自动更新</t>
  </si>
  <si>
    <t xml:space="preserve">显式假设（待用户确认）</t>
  </si>
  <si>
    <t xml:space="preserve">编号</t>
  </si>
  <si>
    <t xml:space="preserve">假设内容</t>
  </si>
  <si>
    <t xml:space="preserve">影响需求</t>
  </si>
  <si>
    <t xml:space="preserve">A1</t>
  </si>
  <si>
    <t xml:space="preserve">已压缩输入默认跳过压缩并警告，--force 才强压</t>
  </si>
  <si>
    <t xml:space="preserve">SYS-CMP-003, SW-DET-003</t>
  </si>
  <si>
    <t xml:space="preserve">A2</t>
  </si>
  <si>
    <t xml:space="preserve">解压产物命名 = 去掉压缩后缀（原生格式不含原文件名，与 gzip/zstd 惯例一致）</t>
  </si>
  <si>
    <t xml:space="preserve">A3</t>
  </si>
  <si>
    <t xml:space="preserve">完整性校验完全依赖原生格式内建校验，不自加封装</t>
  </si>
  <si>
    <t xml:space="preserve">A4</t>
  </si>
  <si>
    <t xml:space="preserve">一期不做多文件/目录归档，目录输入明确报错提示二期</t>
  </si>
  <si>
    <t xml:space="preserve">A5</t>
  </si>
  <si>
    <t xml:space="preserve">GPL/LGPL 库（lzo/lzlib/bzip3/lizard）一期不集成</t>
  </si>
  <si>
    <t xml:space="preserve">A6</t>
  </si>
  <si>
    <t xml:space="preserve">决策延迟预算：特征提取≤50ms（4MB 采样）+ 查表≤1ms</t>
  </si>
  <si>
    <t xml:space="preserve">A7</t>
  </si>
  <si>
    <t xml:space="preserve">适配层吞吐损耗验收线≤5%</t>
  </si>
  <si>
    <t xml:space="preserve">A8</t>
  </si>
  <si>
    <t xml:space="preserve">默认压缩成功后删除源文件（--keep 保留），与 gzip/zstd 默认行为一致</t>
  </si>
  <si>
    <t xml:space="preserve">风险清单</t>
  </si>
  <si>
    <t xml:space="preserve">风险描述</t>
  </si>
  <si>
    <t xml:space="preserve">概率</t>
  </si>
  <si>
    <t xml:space="preserve">影响</t>
  </si>
  <si>
    <t xml:space="preserve">缓解措施</t>
  </si>
  <si>
    <t xml:space="preserve">R1</t>
  </si>
  <si>
    <t xml:space="preserve">GPL 库误链导致发布许可证污染</t>
  </si>
  <si>
    <t xml:space="preserve">中</t>
  </si>
  <si>
    <t xml:space="preserve">高</t>
  </si>
  <si>
    <t xml:space="preserve">准入标准+CI 许可证扫描（TST-LIC-001）</t>
  </si>
  <si>
    <t xml:space="preserve">R2</t>
  </si>
  <si>
    <t xml:space="preserve">无 magic 格式（brotli/lzav/lzham/raw-deflate）误识别</t>
  </si>
  <si>
    <t xml:space="preserve">后缀强提示+试解优先级链；文档明示</t>
  </si>
  <si>
    <t xml:space="preserve">R3</t>
  </si>
  <si>
    <t xml:space="preserve">vendored 12 库导致构建慢、仓库膨胀</t>
  </si>
  <si>
    <t xml:space="preserve">每 codec CMake 开关；核心 10 族默认；浅 vendor 裁剪</t>
  </si>
  <si>
    <t xml:space="preserve">R4</t>
  </si>
  <si>
    <t xml:space="preserve">内置决策表对真实数据类型过拟合</t>
  </si>
  <si>
    <t xml:space="preserve">一期表仅作初值；训练管线持续迭代；--explain 透明化</t>
  </si>
  <si>
    <t xml:space="preserve">R5</t>
  </si>
  <si>
    <t xml:space="preserve">三平台 CI 维护成本</t>
  </si>
  <si>
    <t xml:space="preserve">GitHub Actions 矩阵；MSVC/MinGW 双编译 Windows</t>
  </si>
  <si>
    <t xml:space="preserve">R6</t>
  </si>
  <si>
    <t xml:space="preserve">上游库安全公告</t>
  </si>
  <si>
    <t xml:space="preserve">低</t>
  </si>
  <si>
    <t xml:space="preserve">SYS-CODEC-004 一个发布周期内移除机制</t>
  </si>
  <si>
    <t xml:space="preserve">R7</t>
  </si>
  <si>
    <t xml:space="preserve">lzham (C++) 与 C 核心链接/ABI 问题</t>
  </si>
  <si>
    <t xml:space="preserve">adapter 层以 extern "C" 隔离</t>
  </si>
  <si>
    <t xml:space="preserve">R8</t>
  </si>
  <si>
    <t xml:space="preserve">大文件性能不达标（适配层拷贝过多）</t>
  </si>
  <si>
    <t xml:space="preserve">统一块 buffer 复用；TST-PERF-001 回归</t>
  </si>
  <si>
    <t xml:space="preserve">一期工作分解结构（合计 21 人日）</t>
  </si>
  <si>
    <t xml:space="preserve">工作包</t>
  </si>
  <si>
    <t xml:space="preserve">内容</t>
  </si>
  <si>
    <t xml:space="preserve">依赖</t>
  </si>
  <si>
    <t xml:space="preserve">估算(人日)</t>
  </si>
  <si>
    <t xml:space="preserve">WP1</t>
  </si>
  <si>
    <t xml:space="preserve">仓库脚手架</t>
  </si>
  <si>
    <t xml:space="preserve">CMake、CI 矩阵、目录、LICENSE、NOTICES</t>
  </si>
  <si>
    <t xml:space="preserve">WP2</t>
  </si>
  <si>
    <t xml:space="preserve">codec 抽象层</t>
  </si>
  <si>
    <t xml:space="preserve">ops 接口、注册表、错误映射、块 I/O 框架</t>
  </si>
  <si>
    <t xml:space="preserve">WP3</t>
  </si>
  <si>
    <t xml:space="preserve">核心 codec ×10</t>
  </si>
  <si>
    <t xml:space="preserve">zstd/lz4/zlib/zlib-ng/libdeflate/brotli/xz/bzip2/snappy/lzfse</t>
  </si>
  <si>
    <t xml:space="preserve">WP4</t>
  </si>
  <si>
    <t xml:space="preserve">探测层</t>
  </si>
  <si>
    <t xml:space="preserve">magic 表生成器、后缀分类表、熵采样</t>
  </si>
  <si>
    <t xml:space="preserve">WP5</t>
  </si>
  <si>
    <t xml:space="preserve">决策器一期</t>
  </si>
  <si>
    <t xml:space="preserve">内置表、查表引擎、--explain</t>
  </si>
  <si>
    <t xml:space="preserve">WP6</t>
  </si>
  <si>
    <t xml:space="preserve">CLI + libomnic API</t>
  </si>
  <si>
    <t xml:space="preserve">子命令、退出码、报告输出、原子写</t>
  </si>
  <si>
    <t xml:space="preserve">WP2, WP5</t>
  </si>
  <si>
    <t xml:space="preserve">WP7</t>
  </si>
  <si>
    <t xml:space="preserve">训练管线 MVP</t>
  </si>
  <si>
    <t xml:space="preserve">bench/fit 工具、语料组织、生成 policy_table.gen.c</t>
  </si>
  <si>
    <t xml:space="preserve">WP3, WP4</t>
  </si>
  <si>
    <t xml:space="preserve">WP8</t>
  </si>
  <si>
    <t xml:space="preserve">解压路径</t>
  </si>
  <si>
    <t xml:space="preserve">16 格式接入验证、lzip 容器、自研 LZW</t>
  </si>
  <si>
    <t xml:space="preserve">WP9</t>
  </si>
  <si>
    <t xml:space="preserve">可选 codec ×2</t>
  </si>
  <si>
    <t xml:space="preserve">lzham、lzav（含 extern "C" 隔离）</t>
  </si>
  <si>
    <t xml:space="preserve">WP10</t>
  </si>
  <si>
    <t xml:space="preserve">测试与回归</t>
  </si>
  <si>
    <t xml:space="preserve">交叉/反向/fuzz/性能/异常用例全量</t>
  </si>
  <si>
    <t xml:space="preserve">WP3-8</t>
  </si>
  <si>
    <t xml:space="preserve">WP11</t>
  </si>
  <si>
    <t xml:space="preserve">文档与发布</t>
  </si>
  <si>
    <t xml:space="preserve">README、man、NOTICES、release</t>
  </si>
  <si>
    <t xml:space="preserve">全部</t>
  </si>
  <si>
    <t xml:space="preserve">一期验收标准（Definition of Done）</t>
  </si>
  <si>
    <t xml:space="preserve">#</t>
  </si>
  <si>
    <t xml:space="preserve">验收项</t>
  </si>
  <si>
    <t xml:space="preserve">1</t>
  </si>
  <si>
    <t xml:space="preserve">三平台 CI 绿：构建+TST-CODEC/FMT/DEC/POL/NEG 全通过</t>
  </si>
  <si>
    <t xml:space="preserve">2</t>
  </si>
  <si>
    <t xml:space="preserve">omnic c README.md 输出 README.md.zst（balanced 档期望 zstd），zstd -d 可解，逐字节一致</t>
  </si>
  <si>
    <t xml:space="preserve">3</t>
  </si>
  <si>
    <t xml:space="preserve">omnic c --profile best_ratio README.md 期望 xz，xz -d 可解</t>
  </si>
  <si>
    <t xml:space="preserve">4</t>
  </si>
  <si>
    <t xml:space="preserve">omnic d 对 16 种格式官方 CLI 产物全部可解</t>
  </si>
  <si>
    <t xml:space="preserve">5</t>
  </si>
  <si>
    <t xml:space="preserve">对 .jpg 输入默认跳过并警告；--force 后照常压缩</t>
  </si>
  <si>
    <t xml:space="preserve">6</t>
  </si>
  <si>
    <t xml:space="preserve">决策延迟≤50ms（1GB 文件，采样路径）</t>
  </si>
  <si>
    <t xml:space="preserve">7</t>
  </si>
  <si>
    <t xml:space="preserve">omnic analyze demo.json 输出类型/熵/决策及理由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</si>
</sst>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sz val="10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10"/>
      <name val="Microsoft Ya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3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FF3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3F9"/>
      <rgbColor rgb="FFCCFFFF"/>
      <rgbColor rgb="FF660066"/>
      <rgbColor rgb="FFFF8080"/>
      <rgbColor rgb="FF0066CC"/>
      <rgbColor rgb="FFC5D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6.37"/>
    <col collapsed="false" customWidth="true" hidden="false" outlineLevel="0" max="3" min="3" style="0" width="9.1"/>
    <col collapsed="false" customWidth="true" hidden="false" outlineLevel="0" max="4" min="4" style="0" width="54.59"/>
    <col collapsed="false" customWidth="true" hidden="false" outlineLevel="0" max="5" min="5" style="0" width="14.56"/>
    <col collapsed="false" customWidth="true" hidden="false" outlineLevel="0" max="6" min="6" style="0" width="12.74"/>
    <col collapsed="false" customWidth="true" hidden="false" outlineLevel="0" max="8" min="7" style="0" width="8.19"/>
    <col collapsed="false" customWidth="true" hidden="false" outlineLevel="0" max="9" min="9" style="0" width="6.37"/>
    <col collapsed="false" customWidth="true" hidden="false" outlineLevel="0" max="10" min="10" style="0" width="12.74"/>
  </cols>
  <sheetData>
    <row r="1" customFormat="false" ht="20.1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26.85" hidden="false" customHeight="false" outlineLevel="0" collapsed="false">
      <c r="A4" s="3" t="s">
        <v>11</v>
      </c>
      <c r="B4" s="3" t="s">
        <v>12</v>
      </c>
      <c r="C4" s="4" t="s">
        <v>13</v>
      </c>
      <c r="D4" s="4" t="s">
        <v>14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18</v>
      </c>
      <c r="J4" s="4"/>
    </row>
    <row r="5" customFormat="false" ht="26.85" hidden="false" customHeight="false" outlineLevel="0" collapsed="false">
      <c r="A5" s="5" t="s">
        <v>19</v>
      </c>
      <c r="B5" s="5" t="s">
        <v>12</v>
      </c>
      <c r="C5" s="6" t="s">
        <v>13</v>
      </c>
      <c r="D5" s="6" t="s">
        <v>20</v>
      </c>
      <c r="E5" s="5" t="s">
        <v>21</v>
      </c>
      <c r="F5" s="5" t="s">
        <v>15</v>
      </c>
      <c r="G5" s="5" t="s">
        <v>16</v>
      </c>
      <c r="H5" s="5" t="s">
        <v>17</v>
      </c>
      <c r="I5" s="5" t="s">
        <v>18</v>
      </c>
      <c r="J5" s="6"/>
    </row>
    <row r="6" customFormat="false" ht="15" hidden="false" customHeight="false" outlineLevel="0" collapsed="false">
      <c r="A6" s="3" t="s">
        <v>22</v>
      </c>
      <c r="B6" s="3" t="s">
        <v>12</v>
      </c>
      <c r="C6" s="4" t="s">
        <v>13</v>
      </c>
      <c r="D6" s="4" t="s">
        <v>23</v>
      </c>
      <c r="E6" s="3" t="s">
        <v>15</v>
      </c>
      <c r="F6" s="3" t="s">
        <v>15</v>
      </c>
      <c r="G6" s="3" t="s">
        <v>24</v>
      </c>
      <c r="H6" s="3" t="s">
        <v>17</v>
      </c>
      <c r="I6" s="3" t="s">
        <v>18</v>
      </c>
      <c r="J6" s="4"/>
    </row>
    <row r="7" customFormat="false" ht="15" hidden="false" customHeight="false" outlineLevel="0" collapsed="false">
      <c r="A7" s="5" t="s">
        <v>25</v>
      </c>
      <c r="B7" s="5" t="s">
        <v>12</v>
      </c>
      <c r="C7" s="6" t="s">
        <v>13</v>
      </c>
      <c r="D7" s="6" t="s">
        <v>26</v>
      </c>
      <c r="E7" s="5" t="s">
        <v>27</v>
      </c>
      <c r="F7" s="5" t="s">
        <v>15</v>
      </c>
      <c r="G7" s="5" t="s">
        <v>24</v>
      </c>
      <c r="H7" s="5" t="s">
        <v>17</v>
      </c>
      <c r="I7" s="5" t="s">
        <v>18</v>
      </c>
      <c r="J7" s="6"/>
    </row>
    <row r="8" customFormat="false" ht="15" hidden="false" customHeight="false" outlineLevel="0" collapsed="false">
      <c r="A8" s="3" t="s">
        <v>28</v>
      </c>
      <c r="B8" s="3" t="s">
        <v>12</v>
      </c>
      <c r="C8" s="4" t="s">
        <v>13</v>
      </c>
      <c r="D8" s="4" t="s">
        <v>29</v>
      </c>
      <c r="E8" s="3" t="s">
        <v>30</v>
      </c>
      <c r="F8" s="3" t="s">
        <v>15</v>
      </c>
      <c r="G8" s="3" t="s">
        <v>24</v>
      </c>
      <c r="H8" s="3" t="s">
        <v>17</v>
      </c>
      <c r="I8" s="3" t="s">
        <v>18</v>
      </c>
      <c r="J8" s="4"/>
    </row>
    <row r="9" customFormat="false" ht="26.85" hidden="false" customHeight="false" outlineLevel="0" collapsed="false">
      <c r="A9" s="5" t="s">
        <v>31</v>
      </c>
      <c r="B9" s="5" t="s">
        <v>32</v>
      </c>
      <c r="C9" s="6" t="s">
        <v>33</v>
      </c>
      <c r="D9" s="6" t="s">
        <v>34</v>
      </c>
      <c r="E9" s="5" t="s">
        <v>15</v>
      </c>
      <c r="F9" s="5" t="s">
        <v>11</v>
      </c>
      <c r="G9" s="5" t="s">
        <v>24</v>
      </c>
      <c r="H9" s="5" t="s">
        <v>17</v>
      </c>
      <c r="I9" s="5" t="s">
        <v>18</v>
      </c>
      <c r="J9" s="6"/>
    </row>
    <row r="10" customFormat="false" ht="26.85" hidden="false" customHeight="false" outlineLevel="0" collapsed="false">
      <c r="A10" s="3" t="s">
        <v>35</v>
      </c>
      <c r="B10" s="3" t="s">
        <v>32</v>
      </c>
      <c r="C10" s="4" t="s">
        <v>33</v>
      </c>
      <c r="D10" s="4" t="s">
        <v>36</v>
      </c>
      <c r="E10" s="3" t="s">
        <v>37</v>
      </c>
      <c r="F10" s="3" t="s">
        <v>11</v>
      </c>
      <c r="G10" s="3" t="s">
        <v>24</v>
      </c>
      <c r="H10" s="3" t="s">
        <v>17</v>
      </c>
      <c r="I10" s="3" t="s">
        <v>18</v>
      </c>
      <c r="J10" s="4" t="s">
        <v>38</v>
      </c>
    </row>
    <row r="11" customFormat="false" ht="26.85" hidden="false" customHeight="false" outlineLevel="0" collapsed="false">
      <c r="A11" s="5" t="s">
        <v>39</v>
      </c>
      <c r="B11" s="5" t="s">
        <v>32</v>
      </c>
      <c r="C11" s="6" t="s">
        <v>33</v>
      </c>
      <c r="D11" s="6" t="s">
        <v>40</v>
      </c>
      <c r="E11" s="5" t="s">
        <v>15</v>
      </c>
      <c r="F11" s="5" t="s">
        <v>11</v>
      </c>
      <c r="G11" s="5" t="s">
        <v>24</v>
      </c>
      <c r="H11" s="5" t="s">
        <v>17</v>
      </c>
      <c r="I11" s="5" t="s">
        <v>18</v>
      </c>
      <c r="J11" s="6" t="s">
        <v>41</v>
      </c>
    </row>
    <row r="12" customFormat="false" ht="26.85" hidden="false" customHeight="false" outlineLevel="0" collapsed="false">
      <c r="A12" s="3" t="s">
        <v>42</v>
      </c>
      <c r="B12" s="3" t="s">
        <v>32</v>
      </c>
      <c r="C12" s="4" t="s">
        <v>33</v>
      </c>
      <c r="D12" s="4" t="s">
        <v>43</v>
      </c>
      <c r="E12" s="3" t="s">
        <v>15</v>
      </c>
      <c r="F12" s="3" t="s">
        <v>19</v>
      </c>
      <c r="G12" s="3" t="s">
        <v>16</v>
      </c>
      <c r="H12" s="3" t="s">
        <v>17</v>
      </c>
      <c r="I12" s="3" t="s">
        <v>18</v>
      </c>
      <c r="J12" s="4"/>
    </row>
    <row r="13" customFormat="false" ht="15" hidden="false" customHeight="false" outlineLevel="0" collapsed="false">
      <c r="A13" s="5" t="s">
        <v>44</v>
      </c>
      <c r="B13" s="5" t="s">
        <v>32</v>
      </c>
      <c r="C13" s="6" t="s">
        <v>33</v>
      </c>
      <c r="D13" s="6" t="s">
        <v>45</v>
      </c>
      <c r="E13" s="5" t="s">
        <v>46</v>
      </c>
      <c r="F13" s="5" t="s">
        <v>11</v>
      </c>
      <c r="G13" s="5" t="s">
        <v>24</v>
      </c>
      <c r="H13" s="5" t="s">
        <v>17</v>
      </c>
      <c r="I13" s="5" t="s">
        <v>18</v>
      </c>
      <c r="J13" s="6"/>
    </row>
    <row r="14" customFormat="false" ht="26.85" hidden="false" customHeight="false" outlineLevel="0" collapsed="false">
      <c r="A14" s="3" t="s">
        <v>47</v>
      </c>
      <c r="B14" s="3" t="s">
        <v>32</v>
      </c>
      <c r="C14" s="4" t="s">
        <v>48</v>
      </c>
      <c r="D14" s="4" t="s">
        <v>49</v>
      </c>
      <c r="E14" s="3" t="s">
        <v>50</v>
      </c>
      <c r="F14" s="3" t="s">
        <v>25</v>
      </c>
      <c r="G14" s="3" t="s">
        <v>24</v>
      </c>
      <c r="H14" s="3" t="s">
        <v>17</v>
      </c>
      <c r="I14" s="3" t="s">
        <v>18</v>
      </c>
      <c r="J14" s="4"/>
    </row>
    <row r="15" customFormat="false" ht="15" hidden="false" customHeight="false" outlineLevel="0" collapsed="false">
      <c r="A15" s="5" t="s">
        <v>51</v>
      </c>
      <c r="B15" s="5" t="s">
        <v>32</v>
      </c>
      <c r="C15" s="6" t="s">
        <v>48</v>
      </c>
      <c r="D15" s="6" t="s">
        <v>52</v>
      </c>
      <c r="E15" s="5" t="s">
        <v>15</v>
      </c>
      <c r="F15" s="5" t="s">
        <v>25</v>
      </c>
      <c r="G15" s="5" t="s">
        <v>24</v>
      </c>
      <c r="H15" s="5" t="s">
        <v>17</v>
      </c>
      <c r="I15" s="5" t="s">
        <v>18</v>
      </c>
      <c r="J15" s="6"/>
    </row>
    <row r="16" customFormat="false" ht="26.85" hidden="false" customHeight="false" outlineLevel="0" collapsed="false">
      <c r="A16" s="3" t="s">
        <v>53</v>
      </c>
      <c r="B16" s="3" t="s">
        <v>32</v>
      </c>
      <c r="C16" s="4" t="s">
        <v>48</v>
      </c>
      <c r="D16" s="4" t="s">
        <v>54</v>
      </c>
      <c r="E16" s="3" t="s">
        <v>55</v>
      </c>
      <c r="F16" s="3" t="s">
        <v>25</v>
      </c>
      <c r="G16" s="3" t="s">
        <v>24</v>
      </c>
      <c r="H16" s="3" t="s">
        <v>17</v>
      </c>
      <c r="I16" s="3" t="s">
        <v>18</v>
      </c>
      <c r="J16" s="4"/>
    </row>
    <row r="17" customFormat="false" ht="15" hidden="false" customHeight="false" outlineLevel="0" collapsed="false">
      <c r="A17" s="5" t="s">
        <v>56</v>
      </c>
      <c r="B17" s="5" t="s">
        <v>32</v>
      </c>
      <c r="C17" s="6" t="s">
        <v>48</v>
      </c>
      <c r="D17" s="6" t="s">
        <v>57</v>
      </c>
      <c r="E17" s="5" t="s">
        <v>46</v>
      </c>
      <c r="F17" s="5" t="s">
        <v>25</v>
      </c>
      <c r="G17" s="5" t="s">
        <v>24</v>
      </c>
      <c r="H17" s="5" t="s">
        <v>17</v>
      </c>
      <c r="I17" s="5" t="s">
        <v>18</v>
      </c>
      <c r="J17" s="6"/>
    </row>
    <row r="18" customFormat="false" ht="26.85" hidden="false" customHeight="false" outlineLevel="0" collapsed="false">
      <c r="A18" s="3" t="s">
        <v>58</v>
      </c>
      <c r="B18" s="3" t="s">
        <v>32</v>
      </c>
      <c r="C18" s="4" t="s">
        <v>48</v>
      </c>
      <c r="D18" s="4" t="s">
        <v>59</v>
      </c>
      <c r="E18" s="3" t="s">
        <v>15</v>
      </c>
      <c r="F18" s="3" t="s">
        <v>22</v>
      </c>
      <c r="G18" s="3" t="s">
        <v>60</v>
      </c>
      <c r="H18" s="3" t="s">
        <v>17</v>
      </c>
      <c r="I18" s="3" t="s">
        <v>18</v>
      </c>
      <c r="J18" s="4" t="s">
        <v>61</v>
      </c>
    </row>
    <row r="19" customFormat="false" ht="15" hidden="false" customHeight="false" outlineLevel="0" collapsed="false">
      <c r="A19" s="5" t="s">
        <v>62</v>
      </c>
      <c r="B19" s="5" t="s">
        <v>32</v>
      </c>
      <c r="C19" s="6" t="s">
        <v>63</v>
      </c>
      <c r="D19" s="6" t="s">
        <v>64</v>
      </c>
      <c r="E19" s="5" t="s">
        <v>15</v>
      </c>
      <c r="F19" s="5" t="s">
        <v>22</v>
      </c>
      <c r="G19" s="5" t="s">
        <v>24</v>
      </c>
      <c r="H19" s="5" t="s">
        <v>17</v>
      </c>
      <c r="I19" s="5" t="s">
        <v>18</v>
      </c>
      <c r="J19" s="6"/>
    </row>
    <row r="20" customFormat="false" ht="15" hidden="false" customHeight="false" outlineLevel="0" collapsed="false">
      <c r="A20" s="3" t="s">
        <v>65</v>
      </c>
      <c r="B20" s="3" t="s">
        <v>32</v>
      </c>
      <c r="C20" s="4" t="s">
        <v>63</v>
      </c>
      <c r="D20" s="4" t="s">
        <v>66</v>
      </c>
      <c r="E20" s="3" t="s">
        <v>15</v>
      </c>
      <c r="F20" s="3" t="s">
        <v>25</v>
      </c>
      <c r="G20" s="3" t="s">
        <v>24</v>
      </c>
      <c r="H20" s="3" t="s">
        <v>17</v>
      </c>
      <c r="I20" s="3" t="s">
        <v>18</v>
      </c>
      <c r="J20" s="4"/>
    </row>
    <row r="21" customFormat="false" ht="26.85" hidden="false" customHeight="false" outlineLevel="0" collapsed="false">
      <c r="A21" s="5" t="s">
        <v>67</v>
      </c>
      <c r="B21" s="5" t="s">
        <v>32</v>
      </c>
      <c r="C21" s="6" t="s">
        <v>68</v>
      </c>
      <c r="D21" s="6" t="s">
        <v>69</v>
      </c>
      <c r="E21" s="5" t="s">
        <v>70</v>
      </c>
      <c r="F21" s="5" t="s">
        <v>28</v>
      </c>
      <c r="G21" s="5" t="s">
        <v>60</v>
      </c>
      <c r="H21" s="5" t="s">
        <v>17</v>
      </c>
      <c r="I21" s="5" t="s">
        <v>18</v>
      </c>
      <c r="J21" s="6"/>
    </row>
    <row r="22" customFormat="false" ht="26.85" hidden="false" customHeight="false" outlineLevel="0" collapsed="false">
      <c r="A22" s="3" t="s">
        <v>71</v>
      </c>
      <c r="B22" s="3" t="s">
        <v>32</v>
      </c>
      <c r="C22" s="4" t="s">
        <v>68</v>
      </c>
      <c r="D22" s="4" t="s">
        <v>72</v>
      </c>
      <c r="E22" s="3" t="s">
        <v>15</v>
      </c>
      <c r="F22" s="3" t="s">
        <v>28</v>
      </c>
      <c r="G22" s="3" t="s">
        <v>60</v>
      </c>
      <c r="H22" s="3" t="s">
        <v>17</v>
      </c>
      <c r="I22" s="3" t="s">
        <v>18</v>
      </c>
      <c r="J22" s="4" t="s">
        <v>73</v>
      </c>
    </row>
    <row r="23" customFormat="false" ht="26.85" hidden="false" customHeight="false" outlineLevel="0" collapsed="false">
      <c r="A23" s="5" t="s">
        <v>74</v>
      </c>
      <c r="B23" s="5" t="s">
        <v>32</v>
      </c>
      <c r="C23" s="6" t="s">
        <v>68</v>
      </c>
      <c r="D23" s="6" t="s">
        <v>75</v>
      </c>
      <c r="E23" s="5" t="s">
        <v>15</v>
      </c>
      <c r="F23" s="5" t="s">
        <v>28</v>
      </c>
      <c r="G23" s="5" t="s">
        <v>60</v>
      </c>
      <c r="H23" s="5" t="s">
        <v>17</v>
      </c>
      <c r="I23" s="5" t="s">
        <v>18</v>
      </c>
      <c r="J23" s="6"/>
    </row>
    <row r="24" customFormat="false" ht="26.85" hidden="false" customHeight="false" outlineLevel="0" collapsed="false">
      <c r="A24" s="3" t="s">
        <v>76</v>
      </c>
      <c r="B24" s="3" t="s">
        <v>32</v>
      </c>
      <c r="C24" s="4" t="s">
        <v>68</v>
      </c>
      <c r="D24" s="4" t="s">
        <v>77</v>
      </c>
      <c r="E24" s="3" t="s">
        <v>15</v>
      </c>
      <c r="F24" s="3" t="s">
        <v>28</v>
      </c>
      <c r="G24" s="3" t="s">
        <v>60</v>
      </c>
      <c r="H24" s="3" t="s">
        <v>78</v>
      </c>
      <c r="I24" s="3" t="s">
        <v>18</v>
      </c>
      <c r="J24" s="4"/>
    </row>
    <row r="25" customFormat="false" ht="26.85" hidden="false" customHeight="false" outlineLevel="0" collapsed="false">
      <c r="A25" s="5" t="s">
        <v>79</v>
      </c>
      <c r="B25" s="5" t="s">
        <v>32</v>
      </c>
      <c r="C25" s="6" t="s">
        <v>80</v>
      </c>
      <c r="D25" s="6" t="s">
        <v>81</v>
      </c>
      <c r="E25" s="5" t="s">
        <v>82</v>
      </c>
      <c r="F25" s="5" t="s">
        <v>28</v>
      </c>
      <c r="G25" s="5" t="s">
        <v>24</v>
      </c>
      <c r="H25" s="5" t="s">
        <v>17</v>
      </c>
      <c r="I25" s="5" t="s">
        <v>18</v>
      </c>
      <c r="J25" s="6"/>
    </row>
    <row r="26" customFormat="false" ht="26.85" hidden="false" customHeight="false" outlineLevel="0" collapsed="false">
      <c r="A26" s="3" t="s">
        <v>83</v>
      </c>
      <c r="B26" s="3" t="s">
        <v>32</v>
      </c>
      <c r="C26" s="4" t="s">
        <v>84</v>
      </c>
      <c r="D26" s="4" t="s">
        <v>85</v>
      </c>
      <c r="E26" s="3" t="s">
        <v>86</v>
      </c>
      <c r="F26" s="3" t="s">
        <v>11</v>
      </c>
      <c r="G26" s="3" t="s">
        <v>24</v>
      </c>
      <c r="H26" s="3" t="s">
        <v>17</v>
      </c>
      <c r="I26" s="3" t="s">
        <v>18</v>
      </c>
      <c r="J26" s="4" t="s">
        <v>87</v>
      </c>
    </row>
    <row r="27" customFormat="false" ht="26.85" hidden="false" customHeight="false" outlineLevel="0" collapsed="false">
      <c r="A27" s="5" t="s">
        <v>88</v>
      </c>
      <c r="B27" s="5" t="s">
        <v>32</v>
      </c>
      <c r="C27" s="6" t="s">
        <v>84</v>
      </c>
      <c r="D27" s="6" t="s">
        <v>89</v>
      </c>
      <c r="E27" s="5" t="s">
        <v>90</v>
      </c>
      <c r="F27" s="5" t="s">
        <v>83</v>
      </c>
      <c r="G27" s="5" t="s">
        <v>24</v>
      </c>
      <c r="H27" s="5" t="s">
        <v>78</v>
      </c>
      <c r="I27" s="5" t="s">
        <v>18</v>
      </c>
      <c r="J27" s="6"/>
    </row>
    <row r="28" customFormat="false" ht="15" hidden="false" customHeight="false" outlineLevel="0" collapsed="false">
      <c r="A28" s="3" t="s">
        <v>91</v>
      </c>
      <c r="B28" s="3" t="s">
        <v>32</v>
      </c>
      <c r="C28" s="4" t="s">
        <v>92</v>
      </c>
      <c r="D28" s="4" t="s">
        <v>93</v>
      </c>
      <c r="E28" s="3" t="s">
        <v>94</v>
      </c>
      <c r="F28" s="3" t="s">
        <v>11</v>
      </c>
      <c r="G28" s="3" t="s">
        <v>60</v>
      </c>
      <c r="H28" s="3" t="s">
        <v>17</v>
      </c>
      <c r="I28" s="3" t="s">
        <v>18</v>
      </c>
      <c r="J28" s="4"/>
    </row>
    <row r="29" customFormat="false" ht="15" hidden="false" customHeight="false" outlineLevel="0" collapsed="false">
      <c r="A29" s="5" t="s">
        <v>95</v>
      </c>
      <c r="B29" s="5" t="s">
        <v>96</v>
      </c>
      <c r="C29" s="6" t="s">
        <v>33</v>
      </c>
      <c r="D29" s="6" t="s">
        <v>97</v>
      </c>
      <c r="E29" s="5" t="s">
        <v>15</v>
      </c>
      <c r="F29" s="5" t="s">
        <v>31</v>
      </c>
      <c r="G29" s="5" t="s">
        <v>24</v>
      </c>
      <c r="H29" s="5" t="s">
        <v>17</v>
      </c>
      <c r="I29" s="5" t="s">
        <v>18</v>
      </c>
      <c r="J29" s="6"/>
    </row>
    <row r="30" customFormat="false" ht="26.85" hidden="false" customHeight="false" outlineLevel="0" collapsed="false">
      <c r="A30" s="3" t="s">
        <v>98</v>
      </c>
      <c r="B30" s="3" t="s">
        <v>96</v>
      </c>
      <c r="C30" s="4" t="s">
        <v>33</v>
      </c>
      <c r="D30" s="4" t="s">
        <v>99</v>
      </c>
      <c r="E30" s="3" t="s">
        <v>100</v>
      </c>
      <c r="F30" s="3" t="s">
        <v>31</v>
      </c>
      <c r="G30" s="3" t="s">
        <v>24</v>
      </c>
      <c r="H30" s="3" t="s">
        <v>17</v>
      </c>
      <c r="I30" s="3" t="s">
        <v>18</v>
      </c>
      <c r="J30" s="4"/>
    </row>
    <row r="31" customFormat="false" ht="15" hidden="false" customHeight="false" outlineLevel="0" collapsed="false">
      <c r="A31" s="5" t="s">
        <v>101</v>
      </c>
      <c r="B31" s="5" t="s">
        <v>96</v>
      </c>
      <c r="C31" s="6" t="s">
        <v>33</v>
      </c>
      <c r="D31" s="6" t="s">
        <v>102</v>
      </c>
      <c r="E31" s="5" t="s">
        <v>15</v>
      </c>
      <c r="F31" s="5" t="s">
        <v>31</v>
      </c>
      <c r="G31" s="5" t="s">
        <v>24</v>
      </c>
      <c r="H31" s="5" t="s">
        <v>17</v>
      </c>
      <c r="I31" s="5" t="s">
        <v>18</v>
      </c>
      <c r="J31" s="6"/>
    </row>
    <row r="32" customFormat="false" ht="26.85" hidden="false" customHeight="false" outlineLevel="0" collapsed="false">
      <c r="A32" s="3" t="s">
        <v>103</v>
      </c>
      <c r="B32" s="3" t="s">
        <v>96</v>
      </c>
      <c r="C32" s="4" t="s">
        <v>33</v>
      </c>
      <c r="D32" s="4" t="s">
        <v>104</v>
      </c>
      <c r="E32" s="3" t="s">
        <v>15</v>
      </c>
      <c r="F32" s="3" t="s">
        <v>31</v>
      </c>
      <c r="G32" s="3" t="s">
        <v>24</v>
      </c>
      <c r="H32" s="3" t="s">
        <v>78</v>
      </c>
      <c r="I32" s="3" t="s">
        <v>18</v>
      </c>
      <c r="J32" s="4" t="s">
        <v>105</v>
      </c>
    </row>
    <row r="33" customFormat="false" ht="15" hidden="false" customHeight="false" outlineLevel="0" collapsed="false">
      <c r="A33" s="5" t="s">
        <v>106</v>
      </c>
      <c r="B33" s="5" t="s">
        <v>96</v>
      </c>
      <c r="C33" s="6" t="s">
        <v>33</v>
      </c>
      <c r="D33" s="6" t="s">
        <v>107</v>
      </c>
      <c r="E33" s="5" t="s">
        <v>15</v>
      </c>
      <c r="F33" s="5" t="s">
        <v>31</v>
      </c>
      <c r="G33" s="5" t="s">
        <v>24</v>
      </c>
      <c r="H33" s="5" t="s">
        <v>17</v>
      </c>
      <c r="I33" s="5" t="s">
        <v>18</v>
      </c>
      <c r="J33" s="6"/>
    </row>
    <row r="34" customFormat="false" ht="15" hidden="false" customHeight="false" outlineLevel="0" collapsed="false">
      <c r="A34" s="3" t="s">
        <v>108</v>
      </c>
      <c r="B34" s="3" t="s">
        <v>96</v>
      </c>
      <c r="C34" s="4" t="s">
        <v>33</v>
      </c>
      <c r="D34" s="4" t="s">
        <v>109</v>
      </c>
      <c r="E34" s="3" t="s">
        <v>15</v>
      </c>
      <c r="F34" s="3" t="s">
        <v>31</v>
      </c>
      <c r="G34" s="3" t="s">
        <v>24</v>
      </c>
      <c r="H34" s="3" t="s">
        <v>17</v>
      </c>
      <c r="I34" s="3" t="s">
        <v>18</v>
      </c>
      <c r="J34" s="4"/>
    </row>
    <row r="35" customFormat="false" ht="26.85" hidden="false" customHeight="false" outlineLevel="0" collapsed="false">
      <c r="A35" s="5" t="s">
        <v>110</v>
      </c>
      <c r="B35" s="5" t="s">
        <v>96</v>
      </c>
      <c r="C35" s="6" t="s">
        <v>33</v>
      </c>
      <c r="D35" s="6" t="s">
        <v>111</v>
      </c>
      <c r="E35" s="5" t="s">
        <v>15</v>
      </c>
      <c r="F35" s="5" t="s">
        <v>31</v>
      </c>
      <c r="G35" s="5" t="s">
        <v>24</v>
      </c>
      <c r="H35" s="5" t="s">
        <v>78</v>
      </c>
      <c r="I35" s="5" t="s">
        <v>18</v>
      </c>
      <c r="J35" s="6"/>
    </row>
    <row r="36" customFormat="false" ht="15" hidden="false" customHeight="false" outlineLevel="0" collapsed="false">
      <c r="A36" s="3" t="s">
        <v>112</v>
      </c>
      <c r="B36" s="3" t="s">
        <v>96</v>
      </c>
      <c r="C36" s="4" t="s">
        <v>33</v>
      </c>
      <c r="D36" s="4" t="s">
        <v>113</v>
      </c>
      <c r="E36" s="3" t="s">
        <v>15</v>
      </c>
      <c r="F36" s="3" t="s">
        <v>42</v>
      </c>
      <c r="G36" s="3" t="s">
        <v>16</v>
      </c>
      <c r="H36" s="3" t="s">
        <v>78</v>
      </c>
      <c r="I36" s="3" t="s">
        <v>18</v>
      </c>
      <c r="J36" s="4"/>
    </row>
    <row r="37" customFormat="false" ht="26.85" hidden="false" customHeight="false" outlineLevel="0" collapsed="false">
      <c r="A37" s="5" t="s">
        <v>114</v>
      </c>
      <c r="B37" s="5" t="s">
        <v>96</v>
      </c>
      <c r="C37" s="6" t="s">
        <v>48</v>
      </c>
      <c r="D37" s="6" t="s">
        <v>115</v>
      </c>
      <c r="E37" s="5" t="s">
        <v>15</v>
      </c>
      <c r="F37" s="5" t="s">
        <v>47</v>
      </c>
      <c r="G37" s="5" t="s">
        <v>24</v>
      </c>
      <c r="H37" s="5" t="s">
        <v>17</v>
      </c>
      <c r="I37" s="5" t="s">
        <v>18</v>
      </c>
      <c r="J37" s="6" t="s">
        <v>116</v>
      </c>
    </row>
    <row r="38" customFormat="false" ht="15" hidden="false" customHeight="false" outlineLevel="0" collapsed="false">
      <c r="A38" s="3" t="s">
        <v>117</v>
      </c>
      <c r="B38" s="3" t="s">
        <v>96</v>
      </c>
      <c r="C38" s="4" t="s">
        <v>48</v>
      </c>
      <c r="D38" s="4" t="s">
        <v>118</v>
      </c>
      <c r="E38" s="3" t="s">
        <v>15</v>
      </c>
      <c r="F38" s="3" t="s">
        <v>51</v>
      </c>
      <c r="G38" s="3" t="s">
        <v>16</v>
      </c>
      <c r="H38" s="3" t="s">
        <v>17</v>
      </c>
      <c r="I38" s="3" t="s">
        <v>18</v>
      </c>
      <c r="J38" s="4"/>
    </row>
    <row r="39" customFormat="false" ht="26.85" hidden="false" customHeight="false" outlineLevel="0" collapsed="false">
      <c r="A39" s="5" t="s">
        <v>119</v>
      </c>
      <c r="B39" s="5" t="s">
        <v>96</v>
      </c>
      <c r="C39" s="6" t="s">
        <v>48</v>
      </c>
      <c r="D39" s="6" t="s">
        <v>120</v>
      </c>
      <c r="E39" s="5" t="s">
        <v>15</v>
      </c>
      <c r="F39" s="5" t="s">
        <v>53</v>
      </c>
      <c r="G39" s="5" t="s">
        <v>24</v>
      </c>
      <c r="H39" s="5" t="s">
        <v>17</v>
      </c>
      <c r="I39" s="5" t="s">
        <v>18</v>
      </c>
      <c r="J39" s="6"/>
    </row>
    <row r="40" customFormat="false" ht="26.85" hidden="false" customHeight="false" outlineLevel="0" collapsed="false">
      <c r="A40" s="3" t="s">
        <v>121</v>
      </c>
      <c r="B40" s="3" t="s">
        <v>96</v>
      </c>
      <c r="C40" s="4" t="s">
        <v>122</v>
      </c>
      <c r="D40" s="4" t="s">
        <v>123</v>
      </c>
      <c r="E40" s="3" t="s">
        <v>124</v>
      </c>
      <c r="F40" s="3" t="s">
        <v>47</v>
      </c>
      <c r="G40" s="3" t="s">
        <v>24</v>
      </c>
      <c r="H40" s="3" t="s">
        <v>17</v>
      </c>
      <c r="I40" s="3" t="s">
        <v>18</v>
      </c>
      <c r="J40" s="4"/>
    </row>
    <row r="41" customFormat="false" ht="15" hidden="false" customHeight="false" outlineLevel="0" collapsed="false">
      <c r="A41" s="5" t="s">
        <v>125</v>
      </c>
      <c r="B41" s="5" t="s">
        <v>96</v>
      </c>
      <c r="C41" s="6" t="s">
        <v>122</v>
      </c>
      <c r="D41" s="6" t="s">
        <v>126</v>
      </c>
      <c r="E41" s="5" t="s">
        <v>127</v>
      </c>
      <c r="F41" s="5" t="s">
        <v>31</v>
      </c>
      <c r="G41" s="5" t="s">
        <v>24</v>
      </c>
      <c r="H41" s="5" t="s">
        <v>17</v>
      </c>
      <c r="I41" s="5" t="s">
        <v>18</v>
      </c>
      <c r="J41" s="6"/>
    </row>
    <row r="42" customFormat="false" ht="26.85" hidden="false" customHeight="false" outlineLevel="0" collapsed="false">
      <c r="A42" s="3" t="s">
        <v>128</v>
      </c>
      <c r="B42" s="3" t="s">
        <v>96</v>
      </c>
      <c r="C42" s="4" t="s">
        <v>122</v>
      </c>
      <c r="D42" s="4" t="s">
        <v>129</v>
      </c>
      <c r="E42" s="3" t="s">
        <v>130</v>
      </c>
      <c r="F42" s="3" t="s">
        <v>39</v>
      </c>
      <c r="G42" s="3" t="s">
        <v>24</v>
      </c>
      <c r="H42" s="3" t="s">
        <v>17</v>
      </c>
      <c r="I42" s="3" t="s">
        <v>18</v>
      </c>
      <c r="J42" s="4" t="s">
        <v>41</v>
      </c>
    </row>
    <row r="43" customFormat="false" ht="26.85" hidden="false" customHeight="false" outlineLevel="0" collapsed="false">
      <c r="A43" s="5" t="s">
        <v>131</v>
      </c>
      <c r="B43" s="5" t="s">
        <v>96</v>
      </c>
      <c r="C43" s="6" t="s">
        <v>122</v>
      </c>
      <c r="D43" s="6" t="s">
        <v>132</v>
      </c>
      <c r="E43" s="5" t="s">
        <v>15</v>
      </c>
      <c r="F43" s="5" t="s">
        <v>42</v>
      </c>
      <c r="G43" s="5" t="s">
        <v>16</v>
      </c>
      <c r="H43" s="5" t="s">
        <v>17</v>
      </c>
      <c r="I43" s="5" t="s">
        <v>18</v>
      </c>
      <c r="J43" s="6"/>
    </row>
    <row r="44" customFormat="false" ht="26.85" hidden="false" customHeight="false" outlineLevel="0" collapsed="false">
      <c r="A44" s="3" t="s">
        <v>133</v>
      </c>
      <c r="B44" s="3" t="s">
        <v>96</v>
      </c>
      <c r="C44" s="4" t="s">
        <v>134</v>
      </c>
      <c r="D44" s="4" t="s">
        <v>135</v>
      </c>
      <c r="E44" s="3" t="s">
        <v>15</v>
      </c>
      <c r="F44" s="3" t="s">
        <v>31</v>
      </c>
      <c r="G44" s="3" t="s">
        <v>24</v>
      </c>
      <c r="H44" s="3" t="s">
        <v>17</v>
      </c>
      <c r="I44" s="3" t="s">
        <v>18</v>
      </c>
      <c r="J44" s="4"/>
    </row>
    <row r="45" customFormat="false" ht="26.85" hidden="false" customHeight="false" outlineLevel="0" collapsed="false">
      <c r="A45" s="5" t="s">
        <v>136</v>
      </c>
      <c r="B45" s="5" t="s">
        <v>96</v>
      </c>
      <c r="C45" s="6" t="s">
        <v>134</v>
      </c>
      <c r="D45" s="6" t="s">
        <v>137</v>
      </c>
      <c r="E45" s="5" t="s">
        <v>138</v>
      </c>
      <c r="F45" s="5" t="s">
        <v>31</v>
      </c>
      <c r="G45" s="5" t="s">
        <v>24</v>
      </c>
      <c r="H45" s="5" t="s">
        <v>17</v>
      </c>
      <c r="I45" s="5" t="s">
        <v>18</v>
      </c>
      <c r="J45" s="6"/>
    </row>
    <row r="46" customFormat="false" ht="15" hidden="false" customHeight="false" outlineLevel="0" collapsed="false">
      <c r="A46" s="3" t="s">
        <v>139</v>
      </c>
      <c r="B46" s="3" t="s">
        <v>96</v>
      </c>
      <c r="C46" s="4" t="s">
        <v>134</v>
      </c>
      <c r="D46" s="4" t="s">
        <v>140</v>
      </c>
      <c r="E46" s="3" t="s">
        <v>15</v>
      </c>
      <c r="F46" s="3" t="s">
        <v>42</v>
      </c>
      <c r="G46" s="3" t="s">
        <v>16</v>
      </c>
      <c r="H46" s="3" t="s">
        <v>78</v>
      </c>
      <c r="I46" s="3" t="s">
        <v>18</v>
      </c>
      <c r="J46" s="4"/>
    </row>
    <row r="47" customFormat="false" ht="26.85" hidden="false" customHeight="false" outlineLevel="0" collapsed="false">
      <c r="A47" s="5" t="s">
        <v>141</v>
      </c>
      <c r="B47" s="5" t="s">
        <v>96</v>
      </c>
      <c r="C47" s="6" t="s">
        <v>134</v>
      </c>
      <c r="D47" s="6" t="s">
        <v>142</v>
      </c>
      <c r="E47" s="5" t="s">
        <v>15</v>
      </c>
      <c r="F47" s="5" t="s">
        <v>35</v>
      </c>
      <c r="G47" s="5" t="s">
        <v>60</v>
      </c>
      <c r="H47" s="5" t="s">
        <v>17</v>
      </c>
      <c r="I47" s="5" t="s">
        <v>18</v>
      </c>
      <c r="J47" s="6"/>
    </row>
    <row r="48" customFormat="false" ht="15" hidden="false" customHeight="false" outlineLevel="0" collapsed="false">
      <c r="A48" s="3" t="s">
        <v>143</v>
      </c>
      <c r="B48" s="3" t="s">
        <v>96</v>
      </c>
      <c r="C48" s="4" t="s">
        <v>134</v>
      </c>
      <c r="D48" s="4" t="s">
        <v>144</v>
      </c>
      <c r="E48" s="3" t="s">
        <v>15</v>
      </c>
      <c r="F48" s="3" t="s">
        <v>35</v>
      </c>
      <c r="G48" s="3" t="s">
        <v>24</v>
      </c>
      <c r="H48" s="3" t="s">
        <v>17</v>
      </c>
      <c r="I48" s="3" t="s">
        <v>18</v>
      </c>
      <c r="J48" s="4"/>
    </row>
    <row r="49" customFormat="false" ht="26.85" hidden="false" customHeight="false" outlineLevel="0" collapsed="false">
      <c r="A49" s="5" t="s">
        <v>145</v>
      </c>
      <c r="B49" s="5" t="s">
        <v>96</v>
      </c>
      <c r="C49" s="6" t="s">
        <v>146</v>
      </c>
      <c r="D49" s="6" t="s">
        <v>147</v>
      </c>
      <c r="E49" s="5" t="s">
        <v>15</v>
      </c>
      <c r="F49" s="5" t="s">
        <v>91</v>
      </c>
      <c r="G49" s="5" t="s">
        <v>60</v>
      </c>
      <c r="H49" s="5" t="s">
        <v>17</v>
      </c>
      <c r="I49" s="5" t="s">
        <v>18</v>
      </c>
      <c r="J49" s="6"/>
    </row>
    <row r="50" customFormat="false" ht="26.85" hidden="false" customHeight="false" outlineLevel="0" collapsed="false">
      <c r="A50" s="3" t="s">
        <v>148</v>
      </c>
      <c r="B50" s="3" t="s">
        <v>96</v>
      </c>
      <c r="C50" s="4" t="s">
        <v>146</v>
      </c>
      <c r="D50" s="4" t="s">
        <v>149</v>
      </c>
      <c r="E50" s="3" t="s">
        <v>15</v>
      </c>
      <c r="F50" s="3" t="s">
        <v>91</v>
      </c>
      <c r="G50" s="3" t="s">
        <v>16</v>
      </c>
      <c r="H50" s="3" t="s">
        <v>17</v>
      </c>
      <c r="I50" s="3" t="s">
        <v>18</v>
      </c>
      <c r="J50" s="4"/>
    </row>
    <row r="51" customFormat="false" ht="26.85" hidden="false" customHeight="false" outlineLevel="0" collapsed="false">
      <c r="A51" s="5" t="s">
        <v>150</v>
      </c>
      <c r="B51" s="5" t="s">
        <v>96</v>
      </c>
      <c r="C51" s="6" t="s">
        <v>146</v>
      </c>
      <c r="D51" s="6" t="s">
        <v>151</v>
      </c>
      <c r="E51" s="5" t="s">
        <v>15</v>
      </c>
      <c r="F51" s="5" t="s">
        <v>53</v>
      </c>
      <c r="G51" s="5" t="s">
        <v>24</v>
      </c>
      <c r="H51" s="5" t="s">
        <v>17</v>
      </c>
      <c r="I51" s="5" t="s">
        <v>18</v>
      </c>
      <c r="J51" s="6"/>
    </row>
    <row r="52" customFormat="false" ht="26.85" hidden="false" customHeight="false" outlineLevel="0" collapsed="false">
      <c r="A52" s="3" t="s">
        <v>152</v>
      </c>
      <c r="B52" s="3" t="s">
        <v>96</v>
      </c>
      <c r="C52" s="4" t="s">
        <v>146</v>
      </c>
      <c r="D52" s="4" t="s">
        <v>153</v>
      </c>
      <c r="E52" s="3" t="s">
        <v>154</v>
      </c>
      <c r="F52" s="3" t="s">
        <v>44</v>
      </c>
      <c r="G52" s="3" t="s">
        <v>24</v>
      </c>
      <c r="H52" s="3" t="s">
        <v>17</v>
      </c>
      <c r="I52" s="3" t="s">
        <v>18</v>
      </c>
      <c r="J52" s="4"/>
    </row>
    <row r="53" customFormat="false" ht="26.85" hidden="false" customHeight="false" outlineLevel="0" collapsed="false">
      <c r="A53" s="5" t="s">
        <v>155</v>
      </c>
      <c r="B53" s="5" t="s">
        <v>96</v>
      </c>
      <c r="C53" s="6" t="s">
        <v>146</v>
      </c>
      <c r="D53" s="6" t="s">
        <v>156</v>
      </c>
      <c r="E53" s="5" t="s">
        <v>157</v>
      </c>
      <c r="F53" s="5" t="s">
        <v>91</v>
      </c>
      <c r="G53" s="5" t="s">
        <v>60</v>
      </c>
      <c r="H53" s="5" t="s">
        <v>17</v>
      </c>
      <c r="I53" s="5" t="s">
        <v>18</v>
      </c>
      <c r="J53" s="6"/>
    </row>
    <row r="54" customFormat="false" ht="26.85" hidden="false" customHeight="false" outlineLevel="0" collapsed="false">
      <c r="A54" s="3" t="s">
        <v>158</v>
      </c>
      <c r="B54" s="3" t="s">
        <v>96</v>
      </c>
      <c r="C54" s="4" t="s">
        <v>159</v>
      </c>
      <c r="D54" s="4" t="s">
        <v>160</v>
      </c>
      <c r="E54" s="3" t="s">
        <v>15</v>
      </c>
      <c r="F54" s="3" t="s">
        <v>136</v>
      </c>
      <c r="G54" s="3" t="s">
        <v>24</v>
      </c>
      <c r="H54" s="3" t="s">
        <v>17</v>
      </c>
      <c r="I54" s="3" t="s">
        <v>18</v>
      </c>
      <c r="J54" s="4"/>
    </row>
    <row r="55" customFormat="false" ht="26.85" hidden="false" customHeight="false" outlineLevel="0" collapsed="false">
      <c r="A55" s="5" t="s">
        <v>161</v>
      </c>
      <c r="B55" s="5" t="s">
        <v>96</v>
      </c>
      <c r="C55" s="6" t="s">
        <v>159</v>
      </c>
      <c r="D55" s="6" t="s">
        <v>162</v>
      </c>
      <c r="E55" s="5" t="s">
        <v>15</v>
      </c>
      <c r="F55" s="5" t="s">
        <v>136</v>
      </c>
      <c r="G55" s="5" t="s">
        <v>24</v>
      </c>
      <c r="H55" s="5" t="s">
        <v>17</v>
      </c>
      <c r="I55" s="5" t="s">
        <v>18</v>
      </c>
      <c r="J55" s="6"/>
    </row>
    <row r="56" customFormat="false" ht="15" hidden="false" customHeight="false" outlineLevel="0" collapsed="false">
      <c r="A56" s="3" t="s">
        <v>163</v>
      </c>
      <c r="B56" s="3" t="s">
        <v>96</v>
      </c>
      <c r="C56" s="4" t="s">
        <v>159</v>
      </c>
      <c r="D56" s="4" t="s">
        <v>164</v>
      </c>
      <c r="E56" s="3" t="s">
        <v>165</v>
      </c>
      <c r="F56" s="3" t="s">
        <v>158</v>
      </c>
      <c r="G56" s="3" t="s">
        <v>60</v>
      </c>
      <c r="H56" s="3" t="s">
        <v>17</v>
      </c>
      <c r="I56" s="3" t="s">
        <v>18</v>
      </c>
      <c r="J56" s="4"/>
    </row>
    <row r="57" customFormat="false" ht="15" hidden="false" customHeight="false" outlineLevel="0" collapsed="false">
      <c r="A57" s="5" t="s">
        <v>166</v>
      </c>
      <c r="B57" s="5" t="s">
        <v>96</v>
      </c>
      <c r="C57" s="6" t="s">
        <v>159</v>
      </c>
      <c r="D57" s="6" t="s">
        <v>167</v>
      </c>
      <c r="E57" s="5" t="s">
        <v>15</v>
      </c>
      <c r="F57" s="5" t="s">
        <v>141</v>
      </c>
      <c r="G57" s="5" t="s">
        <v>60</v>
      </c>
      <c r="H57" s="5" t="s">
        <v>17</v>
      </c>
      <c r="I57" s="5" t="s">
        <v>18</v>
      </c>
      <c r="J57" s="6"/>
    </row>
    <row r="58" customFormat="false" ht="26.85" hidden="false" customHeight="false" outlineLevel="0" collapsed="false">
      <c r="A58" s="3" t="s">
        <v>168</v>
      </c>
      <c r="B58" s="3" t="s">
        <v>96</v>
      </c>
      <c r="C58" s="4" t="s">
        <v>159</v>
      </c>
      <c r="D58" s="4" t="s">
        <v>169</v>
      </c>
      <c r="E58" s="3" t="s">
        <v>15</v>
      </c>
      <c r="F58" s="3" t="s">
        <v>136</v>
      </c>
      <c r="G58" s="3" t="s">
        <v>24</v>
      </c>
      <c r="H58" s="3" t="s">
        <v>170</v>
      </c>
      <c r="I58" s="3" t="s">
        <v>171</v>
      </c>
      <c r="J58" s="4"/>
    </row>
    <row r="59" customFormat="false" ht="26.85" hidden="false" customHeight="false" outlineLevel="0" collapsed="false">
      <c r="A59" s="5" t="s">
        <v>172</v>
      </c>
      <c r="B59" s="5" t="s">
        <v>96</v>
      </c>
      <c r="C59" s="6" t="s">
        <v>173</v>
      </c>
      <c r="D59" s="6" t="s">
        <v>174</v>
      </c>
      <c r="E59" s="5" t="s">
        <v>175</v>
      </c>
      <c r="F59" s="5" t="s">
        <v>176</v>
      </c>
      <c r="G59" s="5" t="s">
        <v>16</v>
      </c>
      <c r="H59" s="5" t="s">
        <v>17</v>
      </c>
      <c r="I59" s="5" t="s">
        <v>18</v>
      </c>
      <c r="J59" s="6"/>
    </row>
    <row r="60" customFormat="false" ht="15" hidden="false" customHeight="false" outlineLevel="0" collapsed="false">
      <c r="A60" s="3" t="s">
        <v>177</v>
      </c>
      <c r="B60" s="3" t="s">
        <v>96</v>
      </c>
      <c r="C60" s="4" t="s">
        <v>173</v>
      </c>
      <c r="D60" s="4" t="s">
        <v>178</v>
      </c>
      <c r="E60" s="3" t="s">
        <v>179</v>
      </c>
      <c r="F60" s="3" t="s">
        <v>51</v>
      </c>
      <c r="G60" s="3" t="s">
        <v>24</v>
      </c>
      <c r="H60" s="3" t="s">
        <v>17</v>
      </c>
      <c r="I60" s="3" t="s">
        <v>18</v>
      </c>
      <c r="J60" s="4"/>
    </row>
    <row r="61" customFormat="false" ht="15" hidden="false" customHeight="false" outlineLevel="0" collapsed="false">
      <c r="A61" s="5" t="s">
        <v>180</v>
      </c>
      <c r="B61" s="5" t="s">
        <v>96</v>
      </c>
      <c r="C61" s="6" t="s">
        <v>173</v>
      </c>
      <c r="D61" s="6" t="s">
        <v>181</v>
      </c>
      <c r="E61" s="5" t="s">
        <v>15</v>
      </c>
      <c r="F61" s="5" t="s">
        <v>176</v>
      </c>
      <c r="G61" s="5" t="s">
        <v>60</v>
      </c>
      <c r="H61" s="5" t="s">
        <v>78</v>
      </c>
      <c r="I61" s="5" t="s">
        <v>18</v>
      </c>
      <c r="J61" s="6"/>
    </row>
    <row r="62" customFormat="false" ht="26.85" hidden="false" customHeight="false" outlineLevel="0" collapsed="false">
      <c r="A62" s="3" t="s">
        <v>182</v>
      </c>
      <c r="B62" s="3" t="s">
        <v>96</v>
      </c>
      <c r="C62" s="4" t="s">
        <v>183</v>
      </c>
      <c r="D62" s="4" t="s">
        <v>184</v>
      </c>
      <c r="E62" s="3" t="s">
        <v>15</v>
      </c>
      <c r="F62" s="3" t="s">
        <v>79</v>
      </c>
      <c r="G62" s="3" t="s">
        <v>24</v>
      </c>
      <c r="H62" s="3" t="s">
        <v>17</v>
      </c>
      <c r="I62" s="3" t="s">
        <v>18</v>
      </c>
      <c r="J62" s="4"/>
    </row>
    <row r="63" customFormat="false" ht="15" hidden="false" customHeight="false" outlineLevel="0" collapsed="false">
      <c r="A63" s="5" t="s">
        <v>185</v>
      </c>
      <c r="B63" s="5" t="s">
        <v>96</v>
      </c>
      <c r="C63" s="6" t="s">
        <v>183</v>
      </c>
      <c r="D63" s="6" t="s">
        <v>186</v>
      </c>
      <c r="E63" s="5" t="s">
        <v>15</v>
      </c>
      <c r="F63" s="5" t="s">
        <v>74</v>
      </c>
      <c r="G63" s="5" t="s">
        <v>60</v>
      </c>
      <c r="H63" s="5" t="s">
        <v>17</v>
      </c>
      <c r="I63" s="5" t="s">
        <v>18</v>
      </c>
      <c r="J63" s="6"/>
    </row>
    <row r="64" customFormat="false" ht="15" hidden="false" customHeight="false" outlineLevel="0" collapsed="false">
      <c r="A64" s="3" t="s">
        <v>187</v>
      </c>
      <c r="B64" s="3" t="s">
        <v>96</v>
      </c>
      <c r="C64" s="4" t="s">
        <v>183</v>
      </c>
      <c r="D64" s="4" t="s">
        <v>188</v>
      </c>
      <c r="E64" s="3" t="s">
        <v>15</v>
      </c>
      <c r="F64" s="3" t="s">
        <v>79</v>
      </c>
      <c r="G64" s="3" t="s">
        <v>24</v>
      </c>
      <c r="H64" s="3" t="s">
        <v>17</v>
      </c>
      <c r="I64" s="3" t="s">
        <v>18</v>
      </c>
      <c r="J64" s="4"/>
    </row>
    <row r="65" customFormat="false" ht="15" hidden="false" customHeight="false" outlineLevel="0" collapsed="false">
      <c r="A65" s="5" t="s">
        <v>189</v>
      </c>
      <c r="B65" s="5" t="s">
        <v>96</v>
      </c>
      <c r="C65" s="6" t="s">
        <v>183</v>
      </c>
      <c r="D65" s="6" t="s">
        <v>190</v>
      </c>
      <c r="E65" s="5" t="s">
        <v>15</v>
      </c>
      <c r="F65" s="5" t="s">
        <v>191</v>
      </c>
      <c r="G65" s="5" t="s">
        <v>60</v>
      </c>
      <c r="H65" s="5" t="s">
        <v>17</v>
      </c>
      <c r="I65" s="5" t="s">
        <v>18</v>
      </c>
      <c r="J65" s="6"/>
    </row>
    <row r="66" customFormat="false" ht="15" hidden="false" customHeight="false" outlineLevel="0" collapsed="false">
      <c r="A66" s="3" t="s">
        <v>176</v>
      </c>
      <c r="B66" s="3" t="s">
        <v>192</v>
      </c>
      <c r="C66" s="4" t="s">
        <v>193</v>
      </c>
      <c r="D66" s="4" t="s">
        <v>194</v>
      </c>
      <c r="E66" s="3" t="s">
        <v>15</v>
      </c>
      <c r="F66" s="3" t="s">
        <v>195</v>
      </c>
      <c r="G66" s="3" t="s">
        <v>60</v>
      </c>
      <c r="H66" s="3" t="s">
        <v>17</v>
      </c>
      <c r="I66" s="3" t="s">
        <v>18</v>
      </c>
      <c r="J66" s="4"/>
    </row>
    <row r="67" customFormat="false" ht="39.55" hidden="false" customHeight="false" outlineLevel="0" collapsed="false">
      <c r="A67" s="5" t="s">
        <v>196</v>
      </c>
      <c r="B67" s="5" t="s">
        <v>192</v>
      </c>
      <c r="C67" s="6" t="s">
        <v>197</v>
      </c>
      <c r="D67" s="6" t="s">
        <v>198</v>
      </c>
      <c r="E67" s="5" t="s">
        <v>15</v>
      </c>
      <c r="F67" s="5" t="s">
        <v>91</v>
      </c>
      <c r="G67" s="5" t="s">
        <v>60</v>
      </c>
      <c r="H67" s="5" t="s">
        <v>17</v>
      </c>
      <c r="I67" s="5" t="s">
        <v>18</v>
      </c>
      <c r="J67" s="6"/>
    </row>
    <row r="68" customFormat="false" ht="15" hidden="false" customHeight="false" outlineLevel="0" collapsed="false">
      <c r="A68" s="3" t="s">
        <v>199</v>
      </c>
      <c r="B68" s="3" t="s">
        <v>200</v>
      </c>
      <c r="C68" s="4" t="s">
        <v>201</v>
      </c>
      <c r="D68" s="4" t="s">
        <v>202</v>
      </c>
      <c r="E68" s="3" t="s">
        <v>15</v>
      </c>
      <c r="F68" s="3" t="s">
        <v>62</v>
      </c>
      <c r="G68" s="3" t="s">
        <v>24</v>
      </c>
      <c r="H68" s="3" t="s">
        <v>17</v>
      </c>
      <c r="I68" s="3" t="s">
        <v>18</v>
      </c>
      <c r="J68" s="4"/>
    </row>
    <row r="69" customFormat="false" ht="15" hidden="false" customHeight="false" outlineLevel="0" collapsed="false">
      <c r="A69" s="5" t="s">
        <v>203</v>
      </c>
      <c r="B69" s="5" t="s">
        <v>200</v>
      </c>
      <c r="C69" s="6" t="s">
        <v>201</v>
      </c>
      <c r="D69" s="6" t="s">
        <v>204</v>
      </c>
      <c r="E69" s="5" t="s">
        <v>15</v>
      </c>
      <c r="F69" s="5" t="s">
        <v>65</v>
      </c>
      <c r="G69" s="5" t="s">
        <v>24</v>
      </c>
      <c r="H69" s="5" t="s">
        <v>17</v>
      </c>
      <c r="I69" s="5" t="s">
        <v>18</v>
      </c>
      <c r="J69" s="6"/>
    </row>
    <row r="70" customFormat="false" ht="15" hidden="false" customHeight="false" outlineLevel="0" collapsed="false">
      <c r="A70" s="3" t="s">
        <v>191</v>
      </c>
      <c r="B70" s="3" t="s">
        <v>200</v>
      </c>
      <c r="C70" s="4" t="s">
        <v>205</v>
      </c>
      <c r="D70" s="4" t="s">
        <v>206</v>
      </c>
      <c r="E70" s="3" t="s">
        <v>15</v>
      </c>
      <c r="F70" s="3" t="s">
        <v>145</v>
      </c>
      <c r="G70" s="3" t="s">
        <v>24</v>
      </c>
      <c r="H70" s="3" t="s">
        <v>17</v>
      </c>
      <c r="I70" s="3" t="s">
        <v>18</v>
      </c>
      <c r="J70" s="4"/>
    </row>
    <row r="71" customFormat="false" ht="15" hidden="false" customHeight="false" outlineLevel="0" collapsed="false">
      <c r="A71" s="5" t="s">
        <v>207</v>
      </c>
      <c r="B71" s="5" t="s">
        <v>200</v>
      </c>
      <c r="C71" s="6" t="s">
        <v>208</v>
      </c>
      <c r="D71" s="6" t="s">
        <v>209</v>
      </c>
      <c r="E71" s="5" t="s">
        <v>15</v>
      </c>
      <c r="F71" s="5" t="s">
        <v>53</v>
      </c>
      <c r="G71" s="5" t="s">
        <v>24</v>
      </c>
      <c r="H71" s="5" t="s">
        <v>17</v>
      </c>
      <c r="I71" s="5" t="s">
        <v>18</v>
      </c>
      <c r="J71" s="6"/>
    </row>
    <row r="72" customFormat="false" ht="15" hidden="false" customHeight="false" outlineLevel="0" collapsed="false">
      <c r="A72" s="3" t="s">
        <v>210</v>
      </c>
      <c r="B72" s="3" t="s">
        <v>200</v>
      </c>
      <c r="C72" s="4" t="s">
        <v>211</v>
      </c>
      <c r="D72" s="4" t="s">
        <v>212</v>
      </c>
      <c r="E72" s="3" t="s">
        <v>213</v>
      </c>
      <c r="F72" s="3" t="s">
        <v>136</v>
      </c>
      <c r="G72" s="3" t="s">
        <v>24</v>
      </c>
      <c r="H72" s="3" t="s">
        <v>17</v>
      </c>
      <c r="I72" s="3" t="s">
        <v>18</v>
      </c>
      <c r="J72" s="4"/>
    </row>
    <row r="73" customFormat="false" ht="15" hidden="false" customHeight="false" outlineLevel="0" collapsed="false">
      <c r="A73" s="5" t="s">
        <v>214</v>
      </c>
      <c r="B73" s="5" t="s">
        <v>200</v>
      </c>
      <c r="C73" s="6" t="s">
        <v>84</v>
      </c>
      <c r="D73" s="6" t="s">
        <v>215</v>
      </c>
      <c r="E73" s="5" t="s">
        <v>216</v>
      </c>
      <c r="F73" s="5" t="s">
        <v>83</v>
      </c>
      <c r="G73" s="5" t="s">
        <v>24</v>
      </c>
      <c r="H73" s="5" t="s">
        <v>78</v>
      </c>
      <c r="I73" s="5" t="s">
        <v>18</v>
      </c>
      <c r="J73" s="6"/>
    </row>
    <row r="74" customFormat="false" ht="15" hidden="false" customHeight="false" outlineLevel="0" collapsed="false">
      <c r="A74" s="3" t="s">
        <v>217</v>
      </c>
      <c r="B74" s="3" t="s">
        <v>200</v>
      </c>
      <c r="C74" s="4" t="s">
        <v>218</v>
      </c>
      <c r="D74" s="4" t="s">
        <v>219</v>
      </c>
      <c r="E74" s="3" t="s">
        <v>15</v>
      </c>
      <c r="F74" s="3" t="s">
        <v>79</v>
      </c>
      <c r="G74" s="3" t="s">
        <v>24</v>
      </c>
      <c r="H74" s="3" t="s">
        <v>17</v>
      </c>
      <c r="I74" s="3" t="s">
        <v>18</v>
      </c>
      <c r="J74" s="4"/>
    </row>
    <row r="75" customFormat="false" ht="26.85" hidden="false" customHeight="false" outlineLevel="0" collapsed="false">
      <c r="A75" s="5" t="s">
        <v>220</v>
      </c>
      <c r="B75" s="5" t="s">
        <v>200</v>
      </c>
      <c r="C75" s="6" t="s">
        <v>221</v>
      </c>
      <c r="D75" s="6" t="s">
        <v>222</v>
      </c>
      <c r="E75" s="5" t="s">
        <v>15</v>
      </c>
      <c r="F75" s="5" t="s">
        <v>51</v>
      </c>
      <c r="G75" s="5" t="s">
        <v>24</v>
      </c>
      <c r="H75" s="5" t="s">
        <v>17</v>
      </c>
      <c r="I75" s="5" t="s">
        <v>18</v>
      </c>
      <c r="J75" s="6" t="s">
        <v>223</v>
      </c>
    </row>
    <row r="76" customFormat="false" ht="26.85" hidden="false" customHeight="false" outlineLevel="0" collapsed="false">
      <c r="A76" s="3" t="s">
        <v>224</v>
      </c>
      <c r="B76" s="3" t="s">
        <v>200</v>
      </c>
      <c r="C76" s="4" t="s">
        <v>225</v>
      </c>
      <c r="D76" s="4" t="s">
        <v>226</v>
      </c>
      <c r="E76" s="3" t="s">
        <v>15</v>
      </c>
      <c r="F76" s="3" t="s">
        <v>74</v>
      </c>
      <c r="G76" s="3" t="s">
        <v>60</v>
      </c>
      <c r="H76" s="3" t="s">
        <v>17</v>
      </c>
      <c r="I76" s="3" t="s">
        <v>18</v>
      </c>
      <c r="J76" s="4"/>
    </row>
    <row r="78" customFormat="false" ht="15" hidden="false" customHeight="false" outlineLevel="0" collapsed="false">
      <c r="A78" s="7" t="s">
        <v>227</v>
      </c>
    </row>
  </sheetData>
  <autoFilter ref="A3:J76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2.74"/>
    <col collapsed="false" customWidth="true" hidden="false" outlineLevel="0" max="3" min="3" style="0" width="9.1"/>
  </cols>
  <sheetData>
    <row r="1" customFormat="false" ht="17.35" hidden="false" customHeight="false" outlineLevel="0" collapsed="false">
      <c r="A1" s="1" t="s">
        <v>228</v>
      </c>
      <c r="B1" s="1"/>
      <c r="C1" s="1"/>
    </row>
    <row r="3" customFormat="false" ht="15" hidden="false" customHeight="false" outlineLevel="0" collapsed="false">
      <c r="A3" s="2" t="s">
        <v>229</v>
      </c>
      <c r="B3" s="2" t="s">
        <v>230</v>
      </c>
      <c r="C3" s="2" t="s">
        <v>231</v>
      </c>
    </row>
    <row r="4" customFormat="false" ht="15" hidden="false" customHeight="false" outlineLevel="0" collapsed="false">
      <c r="A4" s="3" t="s">
        <v>2</v>
      </c>
      <c r="B4" s="3" t="s">
        <v>12</v>
      </c>
      <c r="C4" s="4" t="n">
        <f aca="false">COUNTIF(需求矩阵!$B$4:$B$76,B4)</f>
        <v>5</v>
      </c>
    </row>
    <row r="5" customFormat="false" ht="15" hidden="false" customHeight="false" outlineLevel="0" collapsed="false">
      <c r="A5" s="5" t="s">
        <v>2</v>
      </c>
      <c r="B5" s="5" t="s">
        <v>32</v>
      </c>
      <c r="C5" s="6" t="n">
        <f aca="false">COUNTIF(需求矩阵!$B$4:$B$76,B5)</f>
        <v>20</v>
      </c>
    </row>
    <row r="6" customFormat="false" ht="15" hidden="false" customHeight="false" outlineLevel="0" collapsed="false">
      <c r="A6" s="3" t="s">
        <v>2</v>
      </c>
      <c r="B6" s="3" t="s">
        <v>96</v>
      </c>
      <c r="C6" s="4" t="n">
        <f aca="false">COUNTIF(需求矩阵!$B$4:$B$76,B6)</f>
        <v>37</v>
      </c>
    </row>
    <row r="7" customFormat="false" ht="15" hidden="false" customHeight="false" outlineLevel="0" collapsed="false">
      <c r="A7" s="5" t="s">
        <v>2</v>
      </c>
      <c r="B7" s="5" t="s">
        <v>192</v>
      </c>
      <c r="C7" s="6" t="n">
        <f aca="false">COUNTIF(需求矩阵!$B$4:$B$76,B7)</f>
        <v>2</v>
      </c>
    </row>
    <row r="8" customFormat="false" ht="15" hidden="false" customHeight="false" outlineLevel="0" collapsed="false">
      <c r="A8" s="3" t="s">
        <v>2</v>
      </c>
      <c r="B8" s="3" t="s">
        <v>200</v>
      </c>
      <c r="C8" s="4" t="n">
        <f aca="false">COUNTIF(需求矩阵!$B$4:$B$76,B8)</f>
        <v>9</v>
      </c>
    </row>
    <row r="9" customFormat="false" ht="15" hidden="false" customHeight="false" outlineLevel="0" collapsed="false">
      <c r="A9" s="5" t="s">
        <v>8</v>
      </c>
      <c r="B9" s="5" t="s">
        <v>17</v>
      </c>
      <c r="C9" s="6" t="n">
        <f aca="false">COUNTIF(需求矩阵!$H$4:$H$76,B9)</f>
        <v>64</v>
      </c>
    </row>
    <row r="10" customFormat="false" ht="15" hidden="false" customHeight="false" outlineLevel="0" collapsed="false">
      <c r="A10" s="3" t="s">
        <v>8</v>
      </c>
      <c r="B10" s="3" t="s">
        <v>78</v>
      </c>
      <c r="C10" s="4" t="n">
        <f aca="false">COUNTIF(需求矩阵!$H$4:$H$76,B10)</f>
        <v>8</v>
      </c>
    </row>
    <row r="11" customFormat="false" ht="15" hidden="false" customHeight="false" outlineLevel="0" collapsed="false">
      <c r="A11" s="5" t="s">
        <v>8</v>
      </c>
      <c r="B11" s="5" t="s">
        <v>170</v>
      </c>
      <c r="C11" s="6" t="n">
        <f aca="false">COUNTIF(需求矩阵!$H$4:$H$76,B11)</f>
        <v>1</v>
      </c>
    </row>
    <row r="12" customFormat="false" ht="15" hidden="false" customHeight="false" outlineLevel="0" collapsed="false">
      <c r="A12" s="3" t="s">
        <v>9</v>
      </c>
      <c r="B12" s="3" t="s">
        <v>18</v>
      </c>
      <c r="C12" s="4" t="n">
        <f aca="false">COUNTIF(需求矩阵!$I$4:$I$76,B12)</f>
        <v>72</v>
      </c>
    </row>
    <row r="13" customFormat="false" ht="15" hidden="false" customHeight="false" outlineLevel="0" collapsed="false">
      <c r="A13" s="5" t="s">
        <v>9</v>
      </c>
      <c r="B13" s="5" t="s">
        <v>171</v>
      </c>
      <c r="C13" s="6" t="n">
        <f aca="false">COUNTIF(需求矩阵!$I$4:$I$76,B13)</f>
        <v>1</v>
      </c>
    </row>
    <row r="14" customFormat="false" ht="15" hidden="false" customHeight="false" outlineLevel="0" collapsed="false">
      <c r="A14" s="3" t="s">
        <v>232</v>
      </c>
      <c r="B14" s="3" t="s">
        <v>233</v>
      </c>
      <c r="C14" s="4" t="n">
        <f aca="false">COUNTA(需求矩阵!$A$4:$A$76)</f>
        <v>73</v>
      </c>
    </row>
    <row r="16" customFormat="false" ht="15" hidden="false" customHeight="false" outlineLevel="0" collapsed="false">
      <c r="A16" s="7" t="s">
        <v>234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70.97"/>
    <col collapsed="false" customWidth="true" hidden="false" outlineLevel="0" max="3" min="3" style="0" width="20.01"/>
  </cols>
  <sheetData>
    <row r="1" customFormat="false" ht="17.35" hidden="false" customHeight="false" outlineLevel="0" collapsed="false">
      <c r="A1" s="1" t="s">
        <v>235</v>
      </c>
      <c r="B1" s="1"/>
      <c r="C1" s="1"/>
    </row>
    <row r="3" customFormat="false" ht="15" hidden="false" customHeight="false" outlineLevel="0" collapsed="false">
      <c r="A3" s="2" t="s">
        <v>236</v>
      </c>
      <c r="B3" s="2" t="s">
        <v>237</v>
      </c>
      <c r="C3" s="2" t="s">
        <v>238</v>
      </c>
    </row>
    <row r="4" customFormat="false" ht="26.85" hidden="false" customHeight="false" outlineLevel="0" collapsed="false">
      <c r="A4" s="3" t="s">
        <v>239</v>
      </c>
      <c r="B4" s="3" t="s">
        <v>240</v>
      </c>
      <c r="C4" s="4" t="s">
        <v>241</v>
      </c>
    </row>
    <row r="5" customFormat="false" ht="15" hidden="false" customHeight="false" outlineLevel="0" collapsed="false">
      <c r="A5" s="5" t="s">
        <v>242</v>
      </c>
      <c r="B5" s="5" t="s">
        <v>243</v>
      </c>
      <c r="C5" s="6" t="s">
        <v>114</v>
      </c>
    </row>
    <row r="6" customFormat="false" ht="15" hidden="false" customHeight="false" outlineLevel="0" collapsed="false">
      <c r="A6" s="3" t="s">
        <v>244</v>
      </c>
      <c r="B6" s="3" t="s">
        <v>245</v>
      </c>
      <c r="C6" s="4" t="s">
        <v>58</v>
      </c>
    </row>
    <row r="7" customFormat="false" ht="15" hidden="false" customHeight="false" outlineLevel="0" collapsed="false">
      <c r="A7" s="5" t="s">
        <v>246</v>
      </c>
      <c r="B7" s="5" t="s">
        <v>247</v>
      </c>
      <c r="C7" s="6" t="s">
        <v>220</v>
      </c>
    </row>
    <row r="8" customFormat="false" ht="15" hidden="false" customHeight="false" outlineLevel="0" collapsed="false">
      <c r="A8" s="3" t="s">
        <v>248</v>
      </c>
      <c r="B8" s="3" t="s">
        <v>249</v>
      </c>
      <c r="C8" s="4" t="s">
        <v>71</v>
      </c>
    </row>
    <row r="9" customFormat="false" ht="15" hidden="false" customHeight="false" outlineLevel="0" collapsed="false">
      <c r="A9" s="5" t="s">
        <v>250</v>
      </c>
      <c r="B9" s="5" t="s">
        <v>251</v>
      </c>
      <c r="C9" s="6" t="s">
        <v>35</v>
      </c>
    </row>
    <row r="10" customFormat="false" ht="15" hidden="false" customHeight="false" outlineLevel="0" collapsed="false">
      <c r="A10" s="3" t="s">
        <v>252</v>
      </c>
      <c r="B10" s="3" t="s">
        <v>253</v>
      </c>
      <c r="C10" s="4" t="s">
        <v>83</v>
      </c>
    </row>
    <row r="11" customFormat="false" ht="15" hidden="false" customHeight="false" outlineLevel="0" collapsed="false">
      <c r="A11" s="5" t="s">
        <v>254</v>
      </c>
      <c r="B11" s="5" t="s">
        <v>255</v>
      </c>
      <c r="C11" s="6" t="s">
        <v>103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6.39"/>
    <col collapsed="false" customWidth="true" hidden="false" outlineLevel="0" max="4" min="3" style="0" width="7.28"/>
    <col collapsed="false" customWidth="true" hidden="false" outlineLevel="0" max="5" min="5" style="0" width="36.39"/>
  </cols>
  <sheetData>
    <row r="1" customFormat="false" ht="17.35" hidden="false" customHeight="false" outlineLevel="0" collapsed="false">
      <c r="A1" s="1" t="s">
        <v>256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236</v>
      </c>
      <c r="B3" s="2" t="s">
        <v>257</v>
      </c>
      <c r="C3" s="2" t="s">
        <v>258</v>
      </c>
      <c r="D3" s="2" t="s">
        <v>259</v>
      </c>
      <c r="E3" s="2" t="s">
        <v>260</v>
      </c>
    </row>
    <row r="4" customFormat="false" ht="15" hidden="false" customHeight="false" outlineLevel="0" collapsed="false">
      <c r="A4" s="3" t="s">
        <v>261</v>
      </c>
      <c r="B4" s="3" t="s">
        <v>262</v>
      </c>
      <c r="C4" s="4" t="s">
        <v>263</v>
      </c>
      <c r="D4" s="4" t="s">
        <v>264</v>
      </c>
      <c r="E4" s="4" t="s">
        <v>265</v>
      </c>
    </row>
    <row r="5" customFormat="false" ht="15" hidden="false" customHeight="false" outlineLevel="0" collapsed="false">
      <c r="A5" s="5" t="s">
        <v>266</v>
      </c>
      <c r="B5" s="5" t="s">
        <v>267</v>
      </c>
      <c r="C5" s="6" t="s">
        <v>263</v>
      </c>
      <c r="D5" s="6" t="s">
        <v>263</v>
      </c>
      <c r="E5" s="6" t="s">
        <v>268</v>
      </c>
    </row>
    <row r="6" customFormat="false" ht="26.85" hidden="false" customHeight="false" outlineLevel="0" collapsed="false">
      <c r="A6" s="3" t="s">
        <v>269</v>
      </c>
      <c r="B6" s="3" t="s">
        <v>270</v>
      </c>
      <c r="C6" s="4" t="s">
        <v>264</v>
      </c>
      <c r="D6" s="4" t="s">
        <v>263</v>
      </c>
      <c r="E6" s="4" t="s">
        <v>271</v>
      </c>
    </row>
    <row r="7" customFormat="false" ht="26.85" hidden="false" customHeight="false" outlineLevel="0" collapsed="false">
      <c r="A7" s="5" t="s">
        <v>272</v>
      </c>
      <c r="B7" s="5" t="s">
        <v>273</v>
      </c>
      <c r="C7" s="6" t="s">
        <v>263</v>
      </c>
      <c r="D7" s="6" t="s">
        <v>263</v>
      </c>
      <c r="E7" s="6" t="s">
        <v>274</v>
      </c>
    </row>
    <row r="8" customFormat="false" ht="26.85" hidden="false" customHeight="false" outlineLevel="0" collapsed="false">
      <c r="A8" s="3" t="s">
        <v>275</v>
      </c>
      <c r="B8" s="3" t="s">
        <v>276</v>
      </c>
      <c r="C8" s="4" t="s">
        <v>263</v>
      </c>
      <c r="D8" s="4" t="s">
        <v>263</v>
      </c>
      <c r="E8" s="4" t="s">
        <v>277</v>
      </c>
    </row>
    <row r="9" customFormat="false" ht="15" hidden="false" customHeight="false" outlineLevel="0" collapsed="false">
      <c r="A9" s="5" t="s">
        <v>278</v>
      </c>
      <c r="B9" s="5" t="s">
        <v>279</v>
      </c>
      <c r="C9" s="6" t="s">
        <v>280</v>
      </c>
      <c r="D9" s="6" t="s">
        <v>264</v>
      </c>
      <c r="E9" s="6" t="s">
        <v>281</v>
      </c>
    </row>
    <row r="10" customFormat="false" ht="15" hidden="false" customHeight="false" outlineLevel="0" collapsed="false">
      <c r="A10" s="3" t="s">
        <v>282</v>
      </c>
      <c r="B10" s="3" t="s">
        <v>283</v>
      </c>
      <c r="C10" s="4" t="s">
        <v>280</v>
      </c>
      <c r="D10" s="4" t="s">
        <v>280</v>
      </c>
      <c r="E10" s="4" t="s">
        <v>284</v>
      </c>
    </row>
    <row r="11" customFormat="false" ht="15" hidden="false" customHeight="false" outlineLevel="0" collapsed="false">
      <c r="A11" s="5" t="s">
        <v>285</v>
      </c>
      <c r="B11" s="5" t="s">
        <v>286</v>
      </c>
      <c r="C11" s="6" t="s">
        <v>280</v>
      </c>
      <c r="D11" s="6" t="s">
        <v>263</v>
      </c>
      <c r="E11" s="6" t="s">
        <v>287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6.38"/>
    <col collapsed="false" customWidth="true" hidden="false" outlineLevel="0" max="3" min="3" style="0" width="47.31"/>
    <col collapsed="false" customWidth="true" hidden="false" outlineLevel="0" max="5" min="4" style="0" width="10.92"/>
  </cols>
  <sheetData>
    <row r="1" customFormat="false" ht="20.1" hidden="false" customHeight="false" outlineLevel="0" collapsed="false">
      <c r="A1" s="1" t="s">
        <v>288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236</v>
      </c>
      <c r="B3" s="2" t="s">
        <v>289</v>
      </c>
      <c r="C3" s="2" t="s">
        <v>290</v>
      </c>
      <c r="D3" s="2" t="s">
        <v>291</v>
      </c>
      <c r="E3" s="2" t="s">
        <v>292</v>
      </c>
    </row>
    <row r="4" customFormat="false" ht="15" hidden="false" customHeight="false" outlineLevel="0" collapsed="false">
      <c r="A4" s="3" t="s">
        <v>293</v>
      </c>
      <c r="B4" s="3" t="s">
        <v>294</v>
      </c>
      <c r="C4" s="4" t="s">
        <v>295</v>
      </c>
      <c r="D4" s="4" t="s">
        <v>15</v>
      </c>
      <c r="E4" s="4" t="n">
        <v>1</v>
      </c>
    </row>
    <row r="5" customFormat="false" ht="15" hidden="false" customHeight="false" outlineLevel="0" collapsed="false">
      <c r="A5" s="5" t="s">
        <v>296</v>
      </c>
      <c r="B5" s="5" t="s">
        <v>297</v>
      </c>
      <c r="C5" s="6" t="s">
        <v>298</v>
      </c>
      <c r="D5" s="6" t="s">
        <v>293</v>
      </c>
      <c r="E5" s="6" t="n">
        <v>2</v>
      </c>
    </row>
    <row r="6" customFormat="false" ht="15" hidden="false" customHeight="false" outlineLevel="0" collapsed="false">
      <c r="A6" s="3" t="s">
        <v>299</v>
      </c>
      <c r="B6" s="3" t="s">
        <v>300</v>
      </c>
      <c r="C6" s="4" t="s">
        <v>301</v>
      </c>
      <c r="D6" s="4" t="s">
        <v>296</v>
      </c>
      <c r="E6" s="4" t="n">
        <v>3</v>
      </c>
    </row>
    <row r="7" customFormat="false" ht="15" hidden="false" customHeight="false" outlineLevel="0" collapsed="false">
      <c r="A7" s="5" t="s">
        <v>302</v>
      </c>
      <c r="B7" s="5" t="s">
        <v>303</v>
      </c>
      <c r="C7" s="6" t="s">
        <v>304</v>
      </c>
      <c r="D7" s="6" t="s">
        <v>293</v>
      </c>
      <c r="E7" s="6" t="n">
        <v>1.5</v>
      </c>
    </row>
    <row r="8" customFormat="false" ht="15" hidden="false" customHeight="false" outlineLevel="0" collapsed="false">
      <c r="A8" s="3" t="s">
        <v>305</v>
      </c>
      <c r="B8" s="3" t="s">
        <v>306</v>
      </c>
      <c r="C8" s="4" t="s">
        <v>307</v>
      </c>
      <c r="D8" s="4" t="s">
        <v>302</v>
      </c>
      <c r="E8" s="4" t="n">
        <v>1.5</v>
      </c>
    </row>
    <row r="9" customFormat="false" ht="15" hidden="false" customHeight="false" outlineLevel="0" collapsed="false">
      <c r="A9" s="5" t="s">
        <v>308</v>
      </c>
      <c r="B9" s="5" t="s">
        <v>309</v>
      </c>
      <c r="C9" s="6" t="s">
        <v>310</v>
      </c>
      <c r="D9" s="6" t="s">
        <v>311</v>
      </c>
      <c r="E9" s="6" t="n">
        <v>2</v>
      </c>
    </row>
    <row r="10" customFormat="false" ht="15" hidden="false" customHeight="false" outlineLevel="0" collapsed="false">
      <c r="A10" s="3" t="s">
        <v>312</v>
      </c>
      <c r="B10" s="3" t="s">
        <v>313</v>
      </c>
      <c r="C10" s="4" t="s">
        <v>314</v>
      </c>
      <c r="D10" s="4" t="s">
        <v>315</v>
      </c>
      <c r="E10" s="4" t="n">
        <v>3</v>
      </c>
    </row>
    <row r="11" customFormat="false" ht="15" hidden="false" customHeight="false" outlineLevel="0" collapsed="false">
      <c r="A11" s="5" t="s">
        <v>316</v>
      </c>
      <c r="B11" s="5" t="s">
        <v>317</v>
      </c>
      <c r="C11" s="6" t="s">
        <v>318</v>
      </c>
      <c r="D11" s="6" t="s">
        <v>299</v>
      </c>
      <c r="E11" s="6" t="n">
        <v>2</v>
      </c>
    </row>
    <row r="12" customFormat="false" ht="15" hidden="false" customHeight="false" outlineLevel="0" collapsed="false">
      <c r="A12" s="3" t="s">
        <v>319</v>
      </c>
      <c r="B12" s="3" t="s">
        <v>320</v>
      </c>
      <c r="C12" s="4" t="s">
        <v>321</v>
      </c>
      <c r="D12" s="4" t="s">
        <v>296</v>
      </c>
      <c r="E12" s="4" t="n">
        <v>1</v>
      </c>
    </row>
    <row r="13" customFormat="false" ht="15" hidden="false" customHeight="false" outlineLevel="0" collapsed="false">
      <c r="A13" s="5" t="s">
        <v>322</v>
      </c>
      <c r="B13" s="5" t="s">
        <v>323</v>
      </c>
      <c r="C13" s="6" t="s">
        <v>324</v>
      </c>
      <c r="D13" s="6" t="s">
        <v>325</v>
      </c>
      <c r="E13" s="6" t="n">
        <v>3</v>
      </c>
    </row>
    <row r="14" customFormat="false" ht="15" hidden="false" customHeight="false" outlineLevel="0" collapsed="false">
      <c r="A14" s="3" t="s">
        <v>326</v>
      </c>
      <c r="B14" s="3" t="s">
        <v>327</v>
      </c>
      <c r="C14" s="4" t="s">
        <v>328</v>
      </c>
      <c r="D14" s="4" t="s">
        <v>329</v>
      </c>
      <c r="E14" s="4" t="n">
        <v>1</v>
      </c>
    </row>
    <row r="15" customFormat="false" ht="15" hidden="false" customHeight="false" outlineLevel="0" collapsed="false">
      <c r="D15" s="8" t="s">
        <v>232</v>
      </c>
      <c r="E15" s="9" t="n">
        <f aca="false">SUM(E4:E14)</f>
        <v>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81.88"/>
  </cols>
  <sheetData>
    <row r="1" customFormat="false" ht="20.1" hidden="false" customHeight="false" outlineLevel="0" collapsed="false">
      <c r="A1" s="1" t="s">
        <v>330</v>
      </c>
      <c r="B1" s="1"/>
    </row>
    <row r="3" customFormat="false" ht="15" hidden="false" customHeight="false" outlineLevel="0" collapsed="false">
      <c r="A3" s="2" t="s">
        <v>331</v>
      </c>
      <c r="B3" s="2" t="s">
        <v>332</v>
      </c>
    </row>
    <row r="4" customFormat="false" ht="15" hidden="false" customHeight="false" outlineLevel="0" collapsed="false">
      <c r="A4" s="3" t="s">
        <v>333</v>
      </c>
      <c r="B4" s="4" t="s">
        <v>334</v>
      </c>
    </row>
    <row r="5" customFormat="false" ht="15" hidden="false" customHeight="false" outlineLevel="0" collapsed="false">
      <c r="A5" s="5" t="s">
        <v>335</v>
      </c>
      <c r="B5" s="6" t="s">
        <v>336</v>
      </c>
    </row>
    <row r="6" customFormat="false" ht="15" hidden="false" customHeight="false" outlineLevel="0" collapsed="false">
      <c r="A6" s="3" t="s">
        <v>337</v>
      </c>
      <c r="B6" s="4" t="s">
        <v>338</v>
      </c>
    </row>
    <row r="7" customFormat="false" ht="15" hidden="false" customHeight="false" outlineLevel="0" collapsed="false">
      <c r="A7" s="5" t="s">
        <v>339</v>
      </c>
      <c r="B7" s="6" t="s">
        <v>340</v>
      </c>
    </row>
    <row r="8" customFormat="false" ht="15" hidden="false" customHeight="false" outlineLevel="0" collapsed="false">
      <c r="A8" s="3" t="s">
        <v>341</v>
      </c>
      <c r="B8" s="4" t="s">
        <v>342</v>
      </c>
    </row>
    <row r="9" customFormat="false" ht="15" hidden="false" customHeight="false" outlineLevel="0" collapsed="false">
      <c r="A9" s="5" t="s">
        <v>343</v>
      </c>
      <c r="B9" s="6" t="s">
        <v>344</v>
      </c>
    </row>
    <row r="10" customFormat="false" ht="15" hidden="false" customHeight="false" outlineLevel="0" collapsed="false">
      <c r="A10" s="3" t="s">
        <v>345</v>
      </c>
      <c r="B10" s="4" t="s">
        <v>346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2026-10-29T04:05:54Z</dcterms:created>
  <dc:creator>openpyxl</dc:creator>
  <dc:description/>
  <dc:language>zh-CN</dc:language>
  <cp:lastModifiedBy/>
  <dcterms:modified xsi:type="dcterms:W3CDTF">2026-10-29T04:05:54Z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